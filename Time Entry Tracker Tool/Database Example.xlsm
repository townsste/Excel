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01" codeName="{320AAD7A-AEEB-3B57-35EE-6C7AAB037B02}"/>
  <workbookPr codeName="ThisWorkbook" hidePivotFieldList="1" defaultThemeVersion="166925"/>
  <mc:AlternateContent xmlns:mc="http://schemas.openxmlformats.org/markup-compatibility/2006">
    <mc:Choice Requires="x15">
      <x15ac:absPath xmlns:x15ac="http://schemas.microsoft.com/office/spreadsheetml/2010/11/ac" url="D:\Users\Stephen\Desktop\"/>
    </mc:Choice>
  </mc:AlternateContent>
  <bookViews>
    <workbookView xWindow="0" yWindow="0" windowWidth="23130" windowHeight="10080"/>
  </bookViews>
  <sheets>
    <sheet name="Summary" sheetId="4" r:id="rId1"/>
    <sheet name="Database" sheetId="3" r:id="rId2"/>
  </sheets>
  <definedNames>
    <definedName name="_xlnm._FilterDatabase" localSheetId="1" hidden="1">Database!$A$1:$J$1</definedName>
    <definedName name="SearchBy">Summary!$A$12:$A$111</definedName>
    <definedName name="SearchEquip">#REF!</definedName>
    <definedName name="Slicer_Week_of">#N/A</definedName>
    <definedName name="TimeType">Summary!$F$12:$F$111</definedName>
  </definedNames>
  <calcPr calcId="162913"/>
  <pivotCaches>
    <pivotCache cacheId="0" r:id="rId3"/>
  </pivotCaches>
  <fileRecoveryPr autoRecover="0"/>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6" i="4" l="1"/>
  <c r="A27" i="4"/>
  <c r="A28" i="4"/>
  <c r="A29" i="4"/>
  <c r="A30" i="4"/>
  <c r="A31" i="4"/>
  <c r="A32" i="4"/>
  <c r="A33" i="4"/>
  <c r="A34" i="4"/>
  <c r="A35" i="4"/>
  <c r="A36" i="4"/>
  <c r="A37" i="4"/>
  <c r="I364" i="3" l="1"/>
  <c r="J364" i="3" s="1"/>
  <c r="I363" i="3"/>
  <c r="J363" i="3" s="1"/>
  <c r="I362" i="3"/>
  <c r="J362" i="3" s="1"/>
  <c r="I361" i="3"/>
  <c r="J361" i="3" s="1"/>
  <c r="I360" i="3"/>
  <c r="J360" i="3" s="1"/>
  <c r="I359" i="3"/>
  <c r="J359" i="3" s="1"/>
  <c r="I358" i="3"/>
  <c r="J358" i="3" s="1"/>
  <c r="I357" i="3"/>
  <c r="J357" i="3" s="1"/>
  <c r="I356" i="3"/>
  <c r="J356" i="3" s="1"/>
  <c r="I368" i="3" l="1"/>
  <c r="J368" i="3" s="1"/>
  <c r="I367" i="3"/>
  <c r="J367" i="3" s="1"/>
  <c r="I366" i="3"/>
  <c r="J366" i="3" s="1"/>
  <c r="I365" i="3"/>
  <c r="J365" i="3" s="1"/>
  <c r="I355" i="3"/>
  <c r="J355" i="3" s="1"/>
  <c r="I354" i="3"/>
  <c r="J354" i="3" s="1"/>
  <c r="I353" i="3"/>
  <c r="J353" i="3" s="1"/>
  <c r="I352" i="3"/>
  <c r="J352" i="3" s="1"/>
  <c r="I351" i="3"/>
  <c r="J351" i="3" s="1"/>
  <c r="I350" i="3"/>
  <c r="J350" i="3" s="1"/>
  <c r="I349" i="3"/>
  <c r="J349" i="3" s="1"/>
  <c r="I348" i="3"/>
  <c r="J348" i="3" s="1"/>
  <c r="I347" i="3"/>
  <c r="J347" i="3" s="1"/>
  <c r="I346" i="3"/>
  <c r="J346" i="3" s="1"/>
  <c r="I345" i="3"/>
  <c r="J345" i="3" s="1"/>
  <c r="I344" i="3"/>
  <c r="J344" i="3" s="1"/>
  <c r="I343" i="3"/>
  <c r="J343" i="3" s="1"/>
  <c r="I342" i="3"/>
  <c r="J342" i="3" s="1"/>
  <c r="I341" i="3"/>
  <c r="J341" i="3" s="1"/>
  <c r="I340" i="3"/>
  <c r="J340" i="3" s="1"/>
  <c r="I339" i="3"/>
  <c r="J339" i="3" s="1"/>
  <c r="I338" i="3"/>
  <c r="J338" i="3" s="1"/>
  <c r="I337" i="3"/>
  <c r="J337" i="3" s="1"/>
  <c r="I336" i="3"/>
  <c r="J336" i="3" s="1"/>
  <c r="I335" i="3"/>
  <c r="J335" i="3" s="1"/>
  <c r="I334" i="3"/>
  <c r="J334" i="3" s="1"/>
  <c r="I333" i="3"/>
  <c r="J333" i="3" s="1"/>
  <c r="I332" i="3"/>
  <c r="J332" i="3" s="1"/>
  <c r="I331" i="3"/>
  <c r="J331" i="3" s="1"/>
  <c r="I330" i="3"/>
  <c r="J330" i="3" s="1"/>
  <c r="I329" i="3"/>
  <c r="J329" i="3" s="1"/>
  <c r="I328" i="3"/>
  <c r="J328" i="3" s="1"/>
  <c r="I327" i="3"/>
  <c r="J327" i="3" s="1"/>
  <c r="I326" i="3"/>
  <c r="J326" i="3" s="1"/>
  <c r="I325" i="3"/>
  <c r="J325" i="3" s="1"/>
  <c r="I324" i="3" l="1"/>
  <c r="J324" i="3" s="1"/>
  <c r="I323" i="3"/>
  <c r="J323" i="3" s="1"/>
  <c r="I322" i="3"/>
  <c r="J322" i="3" s="1"/>
  <c r="I321" i="3"/>
  <c r="J321" i="3" s="1"/>
  <c r="I320" i="3"/>
  <c r="J320" i="3" s="1"/>
  <c r="I319" i="3"/>
  <c r="J319" i="3" s="1"/>
  <c r="I318" i="3"/>
  <c r="J318" i="3" s="1"/>
  <c r="I317" i="3"/>
  <c r="J317" i="3" s="1"/>
  <c r="I316" i="3"/>
  <c r="J316" i="3" s="1"/>
  <c r="I315" i="3"/>
  <c r="J315" i="3" s="1"/>
  <c r="I314" i="3"/>
  <c r="J314" i="3" s="1"/>
  <c r="I313" i="3"/>
  <c r="J313" i="3" s="1"/>
  <c r="I312" i="3"/>
  <c r="J312" i="3" s="1"/>
  <c r="I311" i="3"/>
  <c r="J311" i="3" s="1"/>
  <c r="I310" i="3"/>
  <c r="J310" i="3" s="1"/>
  <c r="I309" i="3"/>
  <c r="J309" i="3" s="1"/>
  <c r="I308" i="3"/>
  <c r="J308" i="3" s="1"/>
  <c r="I307" i="3"/>
  <c r="J307" i="3" s="1"/>
  <c r="I306" i="3"/>
  <c r="J306" i="3" s="1"/>
  <c r="I305" i="3"/>
  <c r="J305" i="3" s="1"/>
  <c r="I304" i="3"/>
  <c r="J304" i="3" s="1"/>
  <c r="I303" i="3"/>
  <c r="J303" i="3" s="1"/>
  <c r="I302" i="3"/>
  <c r="J302" i="3" s="1"/>
  <c r="I301" i="3"/>
  <c r="J301" i="3" s="1"/>
  <c r="I300" i="3"/>
  <c r="J300" i="3" s="1"/>
  <c r="I299" i="3"/>
  <c r="J299" i="3" s="1"/>
  <c r="I298" i="3"/>
  <c r="J298" i="3" s="1"/>
  <c r="I297" i="3"/>
  <c r="J297" i="3" s="1"/>
  <c r="I296" i="3"/>
  <c r="J296" i="3" s="1"/>
  <c r="I295" i="3"/>
  <c r="J295" i="3" s="1"/>
  <c r="I294" i="3"/>
  <c r="J294" i="3" s="1"/>
  <c r="I293" i="3"/>
  <c r="J293" i="3" s="1"/>
  <c r="I292" i="3"/>
  <c r="J292" i="3" s="1"/>
  <c r="I291" i="3"/>
  <c r="J291" i="3" s="1"/>
  <c r="I290" i="3"/>
  <c r="J290" i="3" s="1"/>
  <c r="I289" i="3"/>
  <c r="J289" i="3" s="1"/>
  <c r="I288" i="3"/>
  <c r="J288" i="3" s="1"/>
  <c r="I287" i="3"/>
  <c r="J287" i="3" s="1"/>
  <c r="I286" i="3"/>
  <c r="J286" i="3" s="1"/>
  <c r="I285" i="3"/>
  <c r="J285" i="3" s="1"/>
  <c r="I284" i="3"/>
  <c r="J284" i="3" s="1"/>
  <c r="I283" i="3"/>
  <c r="J283" i="3" s="1"/>
  <c r="I282" i="3"/>
  <c r="J282" i="3" s="1"/>
  <c r="I281" i="3"/>
  <c r="J281" i="3" s="1"/>
  <c r="I280" i="3"/>
  <c r="J280" i="3" s="1"/>
  <c r="I279" i="3"/>
  <c r="J279" i="3" s="1"/>
  <c r="I278" i="3"/>
  <c r="J278" i="3" s="1"/>
  <c r="I277" i="3"/>
  <c r="J277" i="3" s="1"/>
  <c r="I271" i="3"/>
  <c r="J271" i="3" s="1"/>
  <c r="I270" i="3"/>
  <c r="J270" i="3" s="1"/>
  <c r="I269" i="3"/>
  <c r="J269" i="3" s="1"/>
  <c r="I268" i="3"/>
  <c r="J268" i="3" s="1"/>
  <c r="I276" i="3"/>
  <c r="J276" i="3" s="1"/>
  <c r="I275" i="3"/>
  <c r="J275" i="3" s="1"/>
  <c r="I274" i="3"/>
  <c r="J274" i="3" s="1"/>
  <c r="I273" i="3"/>
  <c r="J273" i="3" s="1"/>
  <c r="I272" i="3"/>
  <c r="J272" i="3" s="1"/>
  <c r="I232" i="3" l="1"/>
  <c r="J232" i="3" s="1"/>
  <c r="I231" i="3"/>
  <c r="J231" i="3" s="1"/>
  <c r="I230" i="3"/>
  <c r="J230" i="3" s="1"/>
  <c r="I229" i="3"/>
  <c r="J229" i="3" s="1"/>
  <c r="I228" i="3"/>
  <c r="J228" i="3" s="1"/>
  <c r="I227" i="3"/>
  <c r="J227" i="3" s="1"/>
  <c r="I226" i="3"/>
  <c r="J226" i="3" s="1"/>
  <c r="I225" i="3"/>
  <c r="J225" i="3" s="1"/>
  <c r="I224" i="3"/>
  <c r="J224" i="3" s="1"/>
  <c r="I223" i="3"/>
  <c r="J223" i="3" s="1"/>
  <c r="I222" i="3"/>
  <c r="J222" i="3" s="1"/>
  <c r="I221" i="3"/>
  <c r="J221" i="3" s="1"/>
  <c r="I220" i="3"/>
  <c r="J220" i="3" s="1"/>
  <c r="I219" i="3"/>
  <c r="J219" i="3" s="1"/>
  <c r="I267" i="3"/>
  <c r="J267" i="3" s="1"/>
  <c r="I266" i="3"/>
  <c r="J266" i="3" s="1"/>
  <c r="I265" i="3"/>
  <c r="J265" i="3" s="1"/>
  <c r="I264" i="3"/>
  <c r="J264" i="3" s="1"/>
  <c r="I263" i="3"/>
  <c r="J263" i="3" s="1"/>
  <c r="I262" i="3"/>
  <c r="J262" i="3" s="1"/>
  <c r="I261" i="3"/>
  <c r="J261" i="3" s="1"/>
  <c r="I260" i="3"/>
  <c r="J260" i="3" s="1"/>
  <c r="I259" i="3"/>
  <c r="J259" i="3" s="1"/>
  <c r="I258" i="3"/>
  <c r="J258" i="3" s="1"/>
  <c r="I257" i="3"/>
  <c r="J257" i="3" s="1"/>
  <c r="I256" i="3"/>
  <c r="J256" i="3" s="1"/>
  <c r="I255" i="3"/>
  <c r="J255" i="3" s="1"/>
  <c r="I254" i="3"/>
  <c r="J254" i="3" s="1"/>
  <c r="I253" i="3" l="1"/>
  <c r="J253" i="3" s="1"/>
  <c r="I252" i="3"/>
  <c r="J252" i="3" s="1"/>
  <c r="I251" i="3"/>
  <c r="J251" i="3" s="1"/>
  <c r="I250" i="3"/>
  <c r="J250" i="3" s="1"/>
  <c r="I249" i="3"/>
  <c r="J249" i="3" s="1"/>
  <c r="I248" i="3"/>
  <c r="J248" i="3" s="1"/>
  <c r="I247" i="3"/>
  <c r="J247" i="3" s="1"/>
  <c r="I246" i="3"/>
  <c r="J246" i="3" s="1"/>
  <c r="I245" i="3"/>
  <c r="J245" i="3" s="1"/>
  <c r="I244" i="3"/>
  <c r="J244" i="3" s="1"/>
  <c r="I243" i="3"/>
  <c r="J243" i="3" s="1"/>
  <c r="I242" i="3"/>
  <c r="J242" i="3" s="1"/>
  <c r="I241" i="3"/>
  <c r="J241" i="3" s="1"/>
  <c r="I240" i="3"/>
  <c r="J240" i="3" s="1"/>
  <c r="I239" i="3"/>
  <c r="J239" i="3" s="1"/>
  <c r="I238" i="3"/>
  <c r="J238" i="3" s="1"/>
  <c r="I237" i="3"/>
  <c r="J237" i="3" s="1"/>
  <c r="I236" i="3"/>
  <c r="J236" i="3" s="1"/>
  <c r="I235" i="3"/>
  <c r="J235" i="3" s="1"/>
  <c r="I234" i="3"/>
  <c r="J234" i="3" s="1"/>
  <c r="I233" i="3"/>
  <c r="J233" i="3" s="1"/>
  <c r="I218" i="3"/>
  <c r="J218" i="3" s="1"/>
  <c r="I217" i="3"/>
  <c r="J217" i="3" s="1"/>
  <c r="I216" i="3"/>
  <c r="J216" i="3" s="1"/>
  <c r="I215" i="3"/>
  <c r="J215" i="3" s="1"/>
  <c r="I214" i="3"/>
  <c r="J214" i="3" s="1"/>
  <c r="I213" i="3"/>
  <c r="J213" i="3" s="1"/>
  <c r="I212" i="3"/>
  <c r="J212" i="3" s="1"/>
  <c r="I211" i="3"/>
  <c r="J211" i="3" s="1"/>
  <c r="I210" i="3"/>
  <c r="J210" i="3" s="1"/>
  <c r="I209" i="3"/>
  <c r="J209" i="3" s="1"/>
  <c r="I208" i="3"/>
  <c r="J208" i="3" s="1"/>
  <c r="I207" i="3"/>
  <c r="J207" i="3" s="1"/>
  <c r="I206" i="3"/>
  <c r="J206" i="3" s="1"/>
  <c r="I205" i="3"/>
  <c r="J205" i="3" s="1"/>
  <c r="I204" i="3"/>
  <c r="J204" i="3" s="1"/>
  <c r="I203" i="3"/>
  <c r="J203" i="3" s="1"/>
  <c r="I202" i="3"/>
  <c r="J202" i="3" s="1"/>
  <c r="I201" i="3"/>
  <c r="J201" i="3" s="1"/>
  <c r="I200" i="3"/>
  <c r="J200" i="3" s="1"/>
  <c r="I199" i="3"/>
  <c r="J199" i="3" s="1"/>
  <c r="I198" i="3"/>
  <c r="J198" i="3" s="1"/>
  <c r="I197" i="3"/>
  <c r="J197" i="3" s="1"/>
  <c r="I196" i="3"/>
  <c r="J196" i="3" s="1"/>
  <c r="I195" i="3"/>
  <c r="J195" i="3" s="1"/>
  <c r="I194" i="3"/>
  <c r="J194" i="3" s="1"/>
  <c r="I193" i="3"/>
  <c r="J193" i="3" s="1"/>
  <c r="I192" i="3"/>
  <c r="J192" i="3" s="1"/>
  <c r="I191" i="3"/>
  <c r="J191" i="3" s="1"/>
  <c r="I190" i="3"/>
  <c r="J190" i="3" s="1"/>
  <c r="I189" i="3"/>
  <c r="J189" i="3" s="1"/>
  <c r="I188" i="3"/>
  <c r="J188" i="3" s="1"/>
  <c r="I187" i="3"/>
  <c r="J187" i="3" s="1"/>
  <c r="I113" i="3" l="1"/>
  <c r="J113" i="3" s="1"/>
  <c r="I112" i="3"/>
  <c r="J112" i="3" s="1"/>
  <c r="I111" i="3"/>
  <c r="J111" i="3" s="1"/>
  <c r="I183" i="3" l="1"/>
  <c r="J183" i="3" s="1"/>
  <c r="I182" i="3"/>
  <c r="J182" i="3" s="1"/>
  <c r="I181" i="3"/>
  <c r="J181" i="3" s="1"/>
  <c r="I180" i="3"/>
  <c r="J180" i="3" s="1"/>
  <c r="I179" i="3"/>
  <c r="J179" i="3" s="1"/>
  <c r="I178" i="3"/>
  <c r="J178" i="3" s="1"/>
  <c r="I177" i="3"/>
  <c r="J177" i="3" s="1"/>
  <c r="I176" i="3"/>
  <c r="J176" i="3" s="1"/>
  <c r="I175" i="3"/>
  <c r="J175" i="3" s="1"/>
  <c r="I174" i="3"/>
  <c r="J174" i="3" s="1"/>
  <c r="I173" i="3"/>
  <c r="J173" i="3" s="1"/>
  <c r="I172" i="3"/>
  <c r="J172" i="3" s="1"/>
  <c r="I171" i="3"/>
  <c r="J171" i="3" s="1"/>
  <c r="I170" i="3"/>
  <c r="J170" i="3" s="1"/>
  <c r="I169" i="3"/>
  <c r="J169" i="3" s="1"/>
  <c r="I168" i="3"/>
  <c r="J168" i="3" s="1"/>
  <c r="I186" i="3"/>
  <c r="J186" i="3" s="1"/>
  <c r="I145" i="3"/>
  <c r="J145" i="3" s="1"/>
  <c r="I144" i="3"/>
  <c r="J144" i="3" s="1"/>
  <c r="I143" i="3"/>
  <c r="J143" i="3" s="1"/>
  <c r="I142" i="3"/>
  <c r="J142" i="3" s="1"/>
  <c r="I141" i="3"/>
  <c r="J141" i="3" s="1"/>
  <c r="I140" i="3"/>
  <c r="J140" i="3" s="1"/>
  <c r="I110" i="3"/>
  <c r="J110" i="3" s="1"/>
  <c r="I109" i="3"/>
  <c r="J109" i="3" s="1"/>
  <c r="I108" i="3"/>
  <c r="J108" i="3" s="1"/>
  <c r="I107" i="3"/>
  <c r="J107" i="3" s="1"/>
  <c r="I106" i="3"/>
  <c r="J106" i="3" s="1"/>
  <c r="I105" i="3"/>
  <c r="J105" i="3" s="1"/>
  <c r="I185" i="3"/>
  <c r="J185" i="3" s="1"/>
  <c r="I184" i="3"/>
  <c r="J184" i="3" s="1"/>
  <c r="I167" i="3"/>
  <c r="J167" i="3" s="1"/>
  <c r="I166" i="3"/>
  <c r="J166" i="3" s="1"/>
  <c r="I165" i="3"/>
  <c r="J165" i="3" s="1"/>
  <c r="I164" i="3"/>
  <c r="J164" i="3" s="1"/>
  <c r="I163" i="3"/>
  <c r="J163" i="3" s="1"/>
  <c r="I162" i="3"/>
  <c r="J162" i="3" s="1"/>
  <c r="I161" i="3"/>
  <c r="J161" i="3" s="1"/>
  <c r="I160" i="3"/>
  <c r="J160" i="3" s="1"/>
  <c r="I159" i="3"/>
  <c r="J159" i="3" s="1"/>
  <c r="I158" i="3"/>
  <c r="J158" i="3" s="1"/>
  <c r="I157" i="3"/>
  <c r="J157" i="3" s="1"/>
  <c r="I156" i="3"/>
  <c r="J156" i="3" s="1"/>
  <c r="I155" i="3"/>
  <c r="J155" i="3" s="1"/>
  <c r="I154" i="3"/>
  <c r="J154" i="3" s="1"/>
  <c r="I153" i="3"/>
  <c r="J153" i="3" s="1"/>
  <c r="I139" i="3"/>
  <c r="J139" i="3" s="1"/>
  <c r="I138" i="3"/>
  <c r="J138" i="3" s="1"/>
  <c r="I137" i="3"/>
  <c r="J137" i="3" s="1"/>
  <c r="I136" i="3"/>
  <c r="J136" i="3" s="1"/>
  <c r="I135" i="3"/>
  <c r="J135" i="3" s="1"/>
  <c r="I134" i="3"/>
  <c r="J134" i="3" s="1"/>
  <c r="I133" i="3"/>
  <c r="J133" i="3" s="1"/>
  <c r="I132" i="3"/>
  <c r="J132" i="3" s="1"/>
  <c r="I131" i="3"/>
  <c r="J131" i="3" s="1"/>
  <c r="I130" i="3"/>
  <c r="J130" i="3" s="1"/>
  <c r="I129" i="3"/>
  <c r="J129" i="3" s="1"/>
  <c r="I128" i="3"/>
  <c r="J128" i="3" s="1"/>
  <c r="I127" i="3"/>
  <c r="J127" i="3" s="1"/>
  <c r="I126" i="3"/>
  <c r="J126" i="3" s="1"/>
  <c r="I104" i="3"/>
  <c r="J104" i="3" s="1"/>
  <c r="I103" i="3"/>
  <c r="J103" i="3" s="1"/>
  <c r="I102" i="3"/>
  <c r="J102" i="3" s="1"/>
  <c r="I101" i="3"/>
  <c r="J101" i="3" s="1"/>
  <c r="I100" i="3"/>
  <c r="J100" i="3" s="1"/>
  <c r="I99" i="3"/>
  <c r="J99" i="3" s="1"/>
  <c r="I98" i="3"/>
  <c r="J98" i="3" s="1"/>
  <c r="I97" i="3"/>
  <c r="J97" i="3" s="1"/>
  <c r="I96" i="3"/>
  <c r="J96" i="3" s="1"/>
  <c r="I95" i="3"/>
  <c r="J95" i="3" s="1"/>
  <c r="I94" i="3"/>
  <c r="J94" i="3" s="1"/>
  <c r="I93" i="3"/>
  <c r="J93" i="3" s="1"/>
  <c r="I92" i="3"/>
  <c r="J92" i="3" s="1"/>
  <c r="I91" i="3"/>
  <c r="J91" i="3" s="1"/>
  <c r="I152" i="3"/>
  <c r="J152" i="3" s="1"/>
  <c r="I151" i="3"/>
  <c r="J151" i="3" s="1"/>
  <c r="I125" i="3"/>
  <c r="J125" i="3" s="1"/>
  <c r="I124" i="3"/>
  <c r="J124" i="3" s="1"/>
  <c r="I123" i="3"/>
  <c r="J123" i="3" s="1"/>
  <c r="I122" i="3"/>
  <c r="J122" i="3" s="1"/>
  <c r="I121" i="3"/>
  <c r="J121" i="3" s="1"/>
  <c r="I120" i="3"/>
  <c r="J120" i="3" s="1"/>
  <c r="I119" i="3"/>
  <c r="J119" i="3" s="1"/>
  <c r="I118" i="3"/>
  <c r="J118" i="3" s="1"/>
  <c r="I150" i="3"/>
  <c r="J150" i="3" s="1"/>
  <c r="I149" i="3"/>
  <c r="J149" i="3" s="1"/>
  <c r="I148" i="3"/>
  <c r="J148" i="3" s="1"/>
  <c r="I147" i="3"/>
  <c r="J147" i="3" s="1"/>
  <c r="I146" i="3"/>
  <c r="J146" i="3" s="1"/>
  <c r="I117" i="3"/>
  <c r="J117" i="3" s="1"/>
  <c r="I116" i="3"/>
  <c r="J116" i="3" s="1"/>
  <c r="I115" i="3"/>
  <c r="J115" i="3" s="1"/>
  <c r="I114" i="3"/>
  <c r="J114" i="3" s="1"/>
  <c r="I90" i="3"/>
  <c r="J90" i="3" s="1"/>
  <c r="I89" i="3"/>
  <c r="J89" i="3" s="1"/>
  <c r="I88" i="3"/>
  <c r="J88" i="3" s="1"/>
  <c r="I87" i="3"/>
  <c r="J87" i="3" s="1"/>
  <c r="I86" i="3"/>
  <c r="J86" i="3" s="1"/>
  <c r="I85" i="3"/>
  <c r="J85" i="3" s="1"/>
  <c r="I84" i="3"/>
  <c r="J84" i="3" s="1"/>
  <c r="I83" i="3"/>
  <c r="J83" i="3" s="1"/>
  <c r="I82" i="3"/>
  <c r="J82" i="3" s="1"/>
  <c r="I81" i="3"/>
  <c r="J81" i="3" s="1"/>
  <c r="I80" i="3"/>
  <c r="J80" i="3" s="1"/>
  <c r="I39" i="3" l="1"/>
  <c r="J39" i="3" s="1"/>
  <c r="I38" i="3"/>
  <c r="J38" i="3" s="1"/>
  <c r="I37" i="3"/>
  <c r="J37" i="3" s="1"/>
  <c r="I36" i="3"/>
  <c r="J36" i="3" s="1"/>
  <c r="I35" i="3"/>
  <c r="J35" i="3" s="1"/>
  <c r="I34" i="3"/>
  <c r="J34" i="3" s="1"/>
  <c r="I33" i="3"/>
  <c r="J33" i="3" s="1"/>
  <c r="I32" i="3"/>
  <c r="J32" i="3" s="1"/>
  <c r="I31" i="3"/>
  <c r="J31" i="3" s="1"/>
  <c r="I30" i="3"/>
  <c r="J30" i="3" s="1"/>
  <c r="I29" i="3"/>
  <c r="J29" i="3" s="1"/>
  <c r="I28" i="3"/>
  <c r="J28" i="3" s="1"/>
  <c r="I79" i="3" l="1"/>
  <c r="J79" i="3" s="1"/>
  <c r="I78" i="3"/>
  <c r="J78" i="3" s="1"/>
  <c r="I77" i="3"/>
  <c r="J77" i="3" s="1"/>
  <c r="I76" i="3"/>
  <c r="J76" i="3" s="1"/>
  <c r="I75" i="3"/>
  <c r="J75" i="3" s="1"/>
  <c r="I74" i="3"/>
  <c r="J74" i="3" s="1"/>
  <c r="I73" i="3"/>
  <c r="J73" i="3" s="1"/>
  <c r="I72" i="3"/>
  <c r="J72" i="3" s="1"/>
  <c r="I71" i="3"/>
  <c r="J71" i="3" s="1"/>
  <c r="I70" i="3"/>
  <c r="J70" i="3" s="1"/>
  <c r="I69" i="3"/>
  <c r="J69" i="3" s="1"/>
  <c r="I68" i="3"/>
  <c r="J68" i="3" s="1"/>
  <c r="I67" i="3"/>
  <c r="J67" i="3" s="1"/>
  <c r="I66" i="3"/>
  <c r="J66" i="3" s="1"/>
  <c r="I65" i="3"/>
  <c r="J65" i="3" s="1"/>
  <c r="I64" i="3"/>
  <c r="J64" i="3" s="1"/>
  <c r="I63" i="3"/>
  <c r="J63" i="3" s="1"/>
  <c r="I62" i="3"/>
  <c r="J62" i="3" s="1"/>
  <c r="I61" i="3"/>
  <c r="J61" i="3" s="1"/>
  <c r="I60" i="3"/>
  <c r="J60" i="3" s="1"/>
  <c r="I59" i="3"/>
  <c r="J59" i="3" s="1"/>
  <c r="I58" i="3"/>
  <c r="J58" i="3" s="1"/>
  <c r="I57" i="3"/>
  <c r="J57" i="3" s="1"/>
  <c r="I56" i="3"/>
  <c r="J56" i="3" s="1"/>
  <c r="I55" i="3"/>
  <c r="J55" i="3" s="1"/>
  <c r="I54" i="3"/>
  <c r="J54" i="3" s="1"/>
  <c r="I53" i="3"/>
  <c r="J53" i="3" s="1"/>
  <c r="I52" i="3"/>
  <c r="J52" i="3" s="1"/>
  <c r="I51" i="3"/>
  <c r="J51" i="3" s="1"/>
  <c r="I50" i="3"/>
  <c r="J50" i="3" s="1"/>
  <c r="I49" i="3"/>
  <c r="J49" i="3" s="1"/>
  <c r="I48" i="3"/>
  <c r="J48" i="3" s="1"/>
  <c r="I47" i="3"/>
  <c r="J47" i="3" s="1"/>
  <c r="I46" i="3"/>
  <c r="J46" i="3" s="1"/>
  <c r="I45" i="3"/>
  <c r="J45" i="3" s="1"/>
  <c r="I44" i="3"/>
  <c r="J44" i="3" s="1"/>
  <c r="I43" i="3"/>
  <c r="J43" i="3" s="1"/>
  <c r="I42" i="3"/>
  <c r="J42" i="3" s="1"/>
  <c r="I41" i="3"/>
  <c r="J41" i="3" s="1"/>
  <c r="I40" i="3"/>
  <c r="J40" i="3" s="1"/>
  <c r="I27" i="3"/>
  <c r="J27" i="3" s="1"/>
  <c r="I26" i="3"/>
  <c r="J26" i="3" s="1"/>
  <c r="I25" i="3"/>
  <c r="J25" i="3" s="1"/>
  <c r="I24" i="3"/>
  <c r="J24" i="3" s="1"/>
  <c r="I23" i="3"/>
  <c r="J23" i="3" s="1"/>
  <c r="I22" i="3"/>
  <c r="J22" i="3" s="1"/>
  <c r="I21" i="3"/>
  <c r="J21" i="3" s="1"/>
  <c r="I20" i="3"/>
  <c r="J20" i="3" s="1"/>
  <c r="I19" i="3"/>
  <c r="J19" i="3" s="1"/>
  <c r="I18" i="3"/>
  <c r="J18" i="3" s="1"/>
  <c r="I17" i="3"/>
  <c r="J17" i="3" s="1"/>
  <c r="I16" i="3"/>
  <c r="J16" i="3" s="1"/>
  <c r="I15" i="3"/>
  <c r="J15" i="3" s="1"/>
  <c r="I14" i="3"/>
  <c r="J14" i="3" s="1"/>
  <c r="I13" i="3"/>
  <c r="J13" i="3" s="1"/>
  <c r="I12" i="3"/>
  <c r="J12" i="3" s="1"/>
  <c r="I11" i="3"/>
  <c r="J11" i="3" s="1"/>
  <c r="I10" i="3"/>
  <c r="J10" i="3" s="1"/>
  <c r="I9" i="3"/>
  <c r="J9" i="3" s="1"/>
  <c r="I8" i="3"/>
  <c r="J8" i="3" s="1"/>
  <c r="I7" i="3"/>
  <c r="J7" i="3" s="1"/>
  <c r="I6" i="3"/>
  <c r="J6" i="3" s="1"/>
  <c r="I5" i="3"/>
  <c r="J5" i="3" s="1"/>
  <c r="I4" i="3"/>
  <c r="J4" i="3" s="1"/>
  <c r="I3" i="3"/>
  <c r="J3" i="3" s="1"/>
  <c r="I2" i="3"/>
  <c r="J2" i="3" s="1"/>
  <c r="A13" i="4" l="1"/>
  <c r="A14" i="4"/>
  <c r="A15" i="4"/>
  <c r="A16" i="4"/>
  <c r="A17" i="4"/>
  <c r="A18" i="4"/>
  <c r="A19" i="4"/>
  <c r="A20" i="4"/>
  <c r="A21" i="4"/>
  <c r="A22" i="4"/>
  <c r="A23" i="4"/>
  <c r="A24" i="4"/>
  <c r="A25" i="4"/>
  <c r="A12" i="4"/>
</calcChain>
</file>

<file path=xl/comments1.xml><?xml version="1.0" encoding="utf-8"?>
<comments xmlns="http://schemas.openxmlformats.org/spreadsheetml/2006/main">
  <authors>
    <author>Stephen Townsend</author>
    <author>Stephen</author>
  </authors>
  <commentList>
    <comment ref="A11" authorId="0" shapeId="0">
      <text>
        <r>
          <rPr>
            <b/>
            <sz val="9"/>
            <color indexed="81"/>
            <rFont val="Tahoma"/>
            <family val="2"/>
          </rPr>
          <t>This column is used to enable searching for an employee by their Last Name.
It uses a formula to get the last name.  If the employee has three sections instead of two then the name will need to be manually entered.
Example:
=MID(B12,FIND(" ",B12)+1, 256)</t>
        </r>
      </text>
    </comment>
    <comment ref="B11" authorId="0" shapeId="0">
      <text>
        <r>
          <rPr>
            <b/>
            <sz val="9"/>
            <color indexed="81"/>
            <rFont val="Tahoma"/>
            <family val="2"/>
          </rPr>
          <t>This column is used to place the Employee Namse in the database for the corresponding employee.
This should be filled out</t>
        </r>
      </text>
    </comment>
    <comment ref="C11" authorId="0" shapeId="0">
      <text>
        <r>
          <rPr>
            <b/>
            <sz val="9"/>
            <color indexed="81"/>
            <rFont val="Tahoma"/>
            <family val="2"/>
          </rPr>
          <t>This column is used to place the Employee ID # in the database for the corresponding employee.
This should be filled out</t>
        </r>
      </text>
    </comment>
    <comment ref="D11" authorId="0" shapeId="0">
      <text>
        <r>
          <rPr>
            <b/>
            <sz val="9"/>
            <color indexed="81"/>
            <rFont val="Tahoma"/>
            <family val="2"/>
          </rPr>
          <t>This column is used to place the employees title in the database for the corresponding employee.
This should be filled out</t>
        </r>
      </text>
    </comment>
    <comment ref="E11" authorId="1" shapeId="0">
      <text>
        <r>
          <rPr>
            <b/>
            <sz val="9"/>
            <color indexed="81"/>
            <rFont val="Tahoma"/>
            <charset val="1"/>
          </rPr>
          <t>This override is used to change an employees title if they can have a different title depending on a type of job they are performing.
The Newtitles will need to be hardcoded in the VBA code.
Developer -&gt; View Code -&gt; Forms -&gt;Add_to_table -&gt; overrideOverride()</t>
        </r>
      </text>
    </comment>
  </commentList>
</comments>
</file>

<file path=xl/sharedStrings.xml><?xml version="1.0" encoding="utf-8"?>
<sst xmlns="http://schemas.openxmlformats.org/spreadsheetml/2006/main" count="1701" uniqueCount="76">
  <si>
    <t>Date</t>
  </si>
  <si>
    <t>Time Type</t>
  </si>
  <si>
    <t>Quantity</t>
  </si>
  <si>
    <t>Employee Name</t>
  </si>
  <si>
    <t>Database List</t>
  </si>
  <si>
    <t>Staff #</t>
  </si>
  <si>
    <t>Search By: LN</t>
  </si>
  <si>
    <t>Doubletime</t>
  </si>
  <si>
    <t/>
  </si>
  <si>
    <t>Standard</t>
  </si>
  <si>
    <t>Overtime</t>
  </si>
  <si>
    <t>TImeType</t>
  </si>
  <si>
    <t>--</t>
  </si>
  <si>
    <t>Week of</t>
  </si>
  <si>
    <t>Week Day</t>
  </si>
  <si>
    <t>Title</t>
  </si>
  <si>
    <t>Employee Title</t>
  </si>
  <si>
    <t>Work Order #</t>
  </si>
  <si>
    <t>Override</t>
  </si>
  <si>
    <t>Foreman</t>
  </si>
  <si>
    <t>Apprentice</t>
  </si>
  <si>
    <t>Journeyman</t>
  </si>
  <si>
    <t>Sr Foreman</t>
  </si>
  <si>
    <t>Carpenter</t>
  </si>
  <si>
    <t>Sr Journeyman</t>
  </si>
  <si>
    <t>Total</t>
  </si>
  <si>
    <t>Time Tracker</t>
  </si>
  <si>
    <t>FirstName Employee1</t>
  </si>
  <si>
    <t>FirstName Employee2</t>
  </si>
  <si>
    <t>FirstName Employee3</t>
  </si>
  <si>
    <t>FirstName Employee4</t>
  </si>
  <si>
    <t>FirstName Employee5</t>
  </si>
  <si>
    <t>FirstName Employee6</t>
  </si>
  <si>
    <t>FirstName Employee7</t>
  </si>
  <si>
    <t>FirstName Employee8</t>
  </si>
  <si>
    <t>FirstName Employee9</t>
  </si>
  <si>
    <t>FirstName Employee10</t>
  </si>
  <si>
    <t>FirstName Employee11</t>
  </si>
  <si>
    <t>FirstName Employee12</t>
  </si>
  <si>
    <t>FirstName Employee13</t>
  </si>
  <si>
    <t>FirstName Employee14</t>
  </si>
  <si>
    <t>FirstName Employee15</t>
  </si>
  <si>
    <t>FirstName Employee16</t>
  </si>
  <si>
    <t>FirstName Employee17</t>
  </si>
  <si>
    <t>FirstName Employee18</t>
  </si>
  <si>
    <t>FirstName Employee19</t>
  </si>
  <si>
    <t>FirstName Employee20</t>
  </si>
  <si>
    <t>FirstName Employee21</t>
  </si>
  <si>
    <t>FirstName Employee22</t>
  </si>
  <si>
    <t>FirstName Employee23</t>
  </si>
  <si>
    <t>FirstName Employee24</t>
  </si>
  <si>
    <t>FirstName Employee25</t>
  </si>
  <si>
    <t>FirstName Employee26</t>
  </si>
  <si>
    <t>First Name Employee10</t>
  </si>
  <si>
    <t>First Name Employee13</t>
  </si>
  <si>
    <t>First Name Employee19</t>
  </si>
  <si>
    <t>First Name Employee20</t>
  </si>
  <si>
    <t>First Name Employee26</t>
  </si>
  <si>
    <t>First Name Employee2</t>
  </si>
  <si>
    <t>First Name Employee14</t>
  </si>
  <si>
    <t>First Name Employee9</t>
  </si>
  <si>
    <t>First Name Employee1</t>
  </si>
  <si>
    <t>First Name Employee12</t>
  </si>
  <si>
    <t>First Name Employee22</t>
  </si>
  <si>
    <t>First Name Employee21</t>
  </si>
  <si>
    <t>First Name Employee25</t>
  </si>
  <si>
    <t>First Name Employee3</t>
  </si>
  <si>
    <t>First Name Employee23</t>
  </si>
  <si>
    <t>First Name Employee18</t>
  </si>
  <si>
    <t>First Name Employee15</t>
  </si>
  <si>
    <t>First Name Employee5</t>
  </si>
  <si>
    <t>First Name Employee11</t>
  </si>
  <si>
    <t>First Name Employee8</t>
  </si>
  <si>
    <t>First Name Employee6</t>
  </si>
  <si>
    <t>First Name Employee24</t>
  </si>
  <si>
    <t>First Name Employee4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</si>
</sst>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8" formatCode="&quot;$&quot;#,##0.00_);[Red]\(&quot;$&quot;#,##0.00\)"/>
  </numFmts>
  <fonts count="6" x14ac:knownFonts="1">
    <font>
      <sz val="11"/>
      <color theme="1"/>
      <name val="Calibri"/>
      <family val="2"/>
      <scheme val="minor"/>
    </font>
    <font>
      <sz val="11"/>
      <color theme="1"/>
      <name val="Calibri"/>
      <family val="2"/>
      <scheme val="minor"/>
    </font>
    <font>
      <sz val="11"/>
      <color theme="0"/>
      <name val="Calibri"/>
      <family val="2"/>
      <scheme val="minor"/>
    </font>
    <font>
      <b/>
      <sz val="9"/>
      <color indexed="81"/>
      <name val="Tahoma"/>
      <family val="2"/>
    </font>
    <font>
      <sz val="11"/>
      <color rgb="FF000000"/>
      <name val="Calibri"/>
      <family val="2"/>
      <scheme val="minor"/>
    </font>
    <font>
      <b/>
      <sz val="9"/>
      <color indexed="81"/>
      <name val="Tahoma"/>
      <charset val="1"/>
    </font>
  </fonts>
  <fills count="3">
    <fill>
      <patternFill patternType="none"/>
    </fill>
    <fill>
      <patternFill patternType="gray125"/>
    </fill>
    <fill>
      <patternFill patternType="solid">
        <fgColor theme="4" tint="0.59999389629810485"/>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s>
  <cellStyleXfs count="1">
    <xf numFmtId="0" fontId="0" fillId="0" borderId="0"/>
  </cellStyleXfs>
  <cellXfs count="65">
    <xf numFmtId="0" fontId="0" fillId="0" borderId="0" xfId="0"/>
    <xf numFmtId="0" fontId="1" fillId="0" borderId="0" xfId="0" applyFont="1"/>
    <xf numFmtId="0" fontId="1" fillId="0" borderId="0" xfId="0" applyFont="1" applyProtection="1">
      <protection locked="0"/>
    </xf>
    <xf numFmtId="0" fontId="0" fillId="0" borderId="0" xfId="0" pivotButton="1"/>
    <xf numFmtId="0" fontId="2" fillId="0" borderId="0" xfId="0" applyFont="1"/>
    <xf numFmtId="0" fontId="0" fillId="0" borderId="2" xfId="0" applyBorder="1"/>
    <xf numFmtId="0" fontId="0" fillId="0" borderId="3" xfId="0" applyBorder="1"/>
    <xf numFmtId="0" fontId="0" fillId="2" borderId="1" xfId="0" applyFill="1"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6" xfId="0" applyBorder="1"/>
    <xf numFmtId="0" fontId="0" fillId="0" borderId="2" xfId="0" applyFill="1" applyBorder="1" applyAlignment="1">
      <alignment horizontal="center"/>
    </xf>
    <xf numFmtId="0" fontId="0" fillId="0" borderId="0" xfId="0" applyAlignment="1">
      <alignment horizontal="center"/>
    </xf>
    <xf numFmtId="0" fontId="0" fillId="0" borderId="8" xfId="0" applyBorder="1"/>
    <xf numFmtId="0" fontId="0" fillId="0" borderId="9" xfId="0" applyBorder="1"/>
    <xf numFmtId="0" fontId="0" fillId="0" borderId="6" xfId="0" applyBorder="1" applyAlignment="1">
      <alignment horizontal="center"/>
    </xf>
    <xf numFmtId="0" fontId="1" fillId="0" borderId="2" xfId="0" applyFont="1" applyBorder="1" applyAlignment="1" applyProtection="1">
      <alignment horizontal="center"/>
      <protection locked="0"/>
    </xf>
    <xf numFmtId="0" fontId="0" fillId="0" borderId="2" xfId="0" applyFill="1" applyBorder="1"/>
    <xf numFmtId="0" fontId="0" fillId="0" borderId="0" xfId="0"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0" borderId="1" xfId="0" applyBorder="1" applyAlignment="1">
      <alignment horizontal="center"/>
    </xf>
    <xf numFmtId="0" fontId="0" fillId="0" borderId="0" xfId="0" applyBorder="1"/>
    <xf numFmtId="0" fontId="0" fillId="0" borderId="0" xfId="0" quotePrefix="1" applyFont="1" applyFill="1" applyBorder="1" applyAlignment="1">
      <alignment horizontal="center"/>
    </xf>
    <xf numFmtId="0" fontId="1" fillId="0" borderId="0" xfId="0" applyFont="1" applyFill="1" applyBorder="1" applyProtection="1">
      <protection locked="0"/>
    </xf>
    <xf numFmtId="0" fontId="1" fillId="0" borderId="0" xfId="0" applyNumberFormat="1" applyFont="1" applyFill="1" applyBorder="1" applyAlignment="1" applyProtection="1">
      <alignment horizontal="right"/>
      <protection locked="0"/>
    </xf>
    <xf numFmtId="0" fontId="1" fillId="0" borderId="0" xfId="0" applyFont="1" applyFill="1" applyBorder="1" applyAlignment="1" applyProtection="1">
      <alignment horizontal="center"/>
      <protection locked="0"/>
    </xf>
    <xf numFmtId="8" fontId="1" fillId="0" borderId="0" xfId="0" applyNumberFormat="1" applyFont="1" applyFill="1" applyBorder="1" applyProtection="1">
      <protection locked="0"/>
    </xf>
    <xf numFmtId="2" fontId="1" fillId="0" borderId="0" xfId="0" applyNumberFormat="1" applyFont="1" applyFill="1" applyBorder="1" applyProtection="1">
      <protection locked="0"/>
    </xf>
    <xf numFmtId="0" fontId="1" fillId="0" borderId="0" xfId="0" quotePrefix="1" applyFont="1" applyFill="1" applyBorder="1" applyAlignment="1">
      <alignment horizontal="center"/>
    </xf>
    <xf numFmtId="0" fontId="1" fillId="0" borderId="0" xfId="0" applyNumberFormat="1" applyFont="1" applyBorder="1" applyAlignment="1" applyProtection="1">
      <alignment horizontal="right"/>
      <protection locked="0"/>
    </xf>
    <xf numFmtId="0" fontId="1" fillId="0" borderId="0" xfId="0" applyFont="1" applyBorder="1" applyAlignment="1" applyProtection="1">
      <alignment horizontal="center"/>
      <protection locked="0"/>
    </xf>
    <xf numFmtId="0" fontId="1" fillId="0" borderId="0" xfId="0" applyFont="1" applyBorder="1" applyProtection="1">
      <protection locked="0"/>
    </xf>
    <xf numFmtId="8" fontId="1" fillId="0" borderId="0" xfId="0" applyNumberFormat="1" applyFont="1" applyBorder="1" applyProtection="1">
      <protection locked="0"/>
    </xf>
    <xf numFmtId="2" fontId="1" fillId="0" borderId="0" xfId="0" applyNumberFormat="1" applyFont="1" applyBorder="1" applyProtection="1">
      <protection locked="0"/>
    </xf>
    <xf numFmtId="0" fontId="1" fillId="0" borderId="0" xfId="0" applyFont="1" applyBorder="1" applyAlignment="1">
      <alignment horizontal="center"/>
    </xf>
    <xf numFmtId="0" fontId="0" fillId="0" borderId="0" xfId="0" applyAlignment="1">
      <alignment horizontal="center"/>
    </xf>
    <xf numFmtId="0" fontId="1" fillId="0" borderId="0" xfId="0" applyFont="1" applyAlignment="1">
      <alignment horizontal="center"/>
    </xf>
    <xf numFmtId="0" fontId="1" fillId="0" borderId="0" xfId="0" applyNumberFormat="1" applyFont="1" applyFill="1" applyBorder="1" applyAlignment="1" applyProtection="1">
      <alignment horizontal="left"/>
      <protection locked="0"/>
    </xf>
    <xf numFmtId="0" fontId="1" fillId="0" borderId="0" xfId="0" applyNumberFormat="1" applyFont="1" applyBorder="1" applyAlignment="1" applyProtection="1">
      <alignment horizontal="left"/>
      <protection locked="0"/>
    </xf>
    <xf numFmtId="0" fontId="0" fillId="0" borderId="0" xfId="0" applyFont="1" applyFill="1" applyBorder="1" applyProtection="1">
      <protection locked="0"/>
    </xf>
    <xf numFmtId="0" fontId="0" fillId="0" borderId="0" xfId="0" applyFill="1" applyBorder="1"/>
    <xf numFmtId="0" fontId="4" fillId="0" borderId="0" xfId="0" applyFont="1" applyFill="1" applyBorder="1"/>
    <xf numFmtId="0" fontId="1" fillId="0" borderId="11" xfId="0" applyNumberFormat="1" applyFont="1" applyFill="1" applyBorder="1" applyAlignment="1" applyProtection="1">
      <alignment horizontal="right"/>
      <protection locked="0"/>
    </xf>
    <xf numFmtId="0" fontId="1" fillId="0" borderId="11" xfId="0" applyFont="1" applyFill="1" applyBorder="1" applyAlignment="1" applyProtection="1">
      <alignment horizontal="center"/>
      <protection locked="0"/>
    </xf>
    <xf numFmtId="0" fontId="1" fillId="0" borderId="11" xfId="0" applyFont="1" applyFill="1" applyBorder="1" applyProtection="1">
      <protection locked="0"/>
    </xf>
    <xf numFmtId="0" fontId="1" fillId="0" borderId="11" xfId="0" applyNumberFormat="1" applyFont="1" applyFill="1" applyBorder="1" applyAlignment="1" applyProtection="1">
      <alignment horizontal="left"/>
      <protection locked="0"/>
    </xf>
    <xf numFmtId="2" fontId="1" fillId="0" borderId="11" xfId="0" applyNumberFormat="1" applyFont="1" applyFill="1" applyBorder="1" applyProtection="1">
      <protection locked="0"/>
    </xf>
    <xf numFmtId="8" fontId="1" fillId="0" borderId="11"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Alignment="1">
      <alignment horizontal="left"/>
    </xf>
    <xf numFmtId="0" fontId="0" fillId="0" borderId="0" xfId="0" applyAlignment="1">
      <alignment horizontal="left" indent="1"/>
    </xf>
    <xf numFmtId="0" fontId="0" fillId="0" borderId="0" xfId="0" applyNumberFormat="1" applyAlignment="1">
      <alignment horizontal="center"/>
    </xf>
    <xf numFmtId="14" fontId="1" fillId="0" borderId="0" xfId="0" applyNumberFormat="1" applyFont="1" applyFill="1" applyBorder="1" applyAlignment="1" applyProtection="1">
      <alignment horizontal="left"/>
      <protection locked="0"/>
    </xf>
    <xf numFmtId="14" fontId="1" fillId="0" borderId="11" xfId="0" applyNumberFormat="1" applyFont="1" applyFill="1" applyBorder="1" applyAlignment="1" applyProtection="1">
      <alignment horizontal="left"/>
      <protection locked="0"/>
    </xf>
    <xf numFmtId="14" fontId="1" fillId="0" borderId="0" xfId="0" applyNumberFormat="1" applyFont="1" applyBorder="1" applyAlignment="1" applyProtection="1">
      <alignment horizontal="left"/>
      <protection locked="0"/>
    </xf>
    <xf numFmtId="14" fontId="0" fillId="0" borderId="0" xfId="0" applyNumberFormat="1" applyAlignment="1">
      <alignment horizontal="center"/>
    </xf>
    <xf numFmtId="8" fontId="0" fillId="0" borderId="0" xfId="0" applyNumberFormat="1" applyFont="1" applyFill="1" applyBorder="1" applyProtection="1">
      <protection locked="0"/>
    </xf>
    <xf numFmtId="0" fontId="0" fillId="0" borderId="0" xfId="0"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10" xfId="0" applyBorder="1" applyAlignment="1">
      <alignment horizontal="center"/>
    </xf>
    <xf numFmtId="0" fontId="0" fillId="0" borderId="0" xfId="0" applyAlignment="1">
      <alignment horizontal="center"/>
    </xf>
    <xf numFmtId="0" fontId="0" fillId="0" borderId="7" xfId="0" applyBorder="1" applyAlignment="1">
      <alignment horizontal="center"/>
    </xf>
  </cellXfs>
  <cellStyles count="1">
    <cellStyle name="Normal" xfId="0" builtinId="0"/>
  </cellStyles>
  <dxfs count="15">
    <dxf>
      <alignment horizontal="center"/>
    </dxf>
    <dxf>
      <alignment horizontal="center"/>
    </dxf>
    <dxf>
      <alignment horizontal="center"/>
    </dxf>
    <dxf>
      <alignment horizontal="center"/>
    </dxf>
    <dxf>
      <alignment horizontal="right"/>
    </dxf>
    <dxf>
      <alignment horizontal="left"/>
    </dxf>
    <dxf>
      <alignment horizontal="right"/>
    </dxf>
    <dxf>
      <alignment horizontal="left"/>
    </dxf>
    <dxf>
      <alignment horizontal="center"/>
    </dxf>
    <dxf>
      <alignment horizontal="right"/>
    </dxf>
    <dxf>
      <alignment horizontal="center"/>
    </dxf>
    <dxf>
      <alignment horizontal="center"/>
    </dxf>
    <dxf>
      <font>
        <b/>
        <color theme="1"/>
      </font>
      <border>
        <bottom style="thin">
          <color theme="4"/>
        </bottom>
        <vertical/>
        <horizontal/>
      </border>
    </dxf>
    <dxf>
      <font>
        <color theme="1"/>
      </font>
      <fill>
        <patternFill patternType="none">
          <bgColor auto="1"/>
        </patternFill>
      </fill>
      <border diagonalUp="0" diagonalDown="0">
        <left/>
        <right/>
        <top/>
        <bottom/>
        <vertical/>
        <horizontal/>
      </border>
    </dxf>
    <dxf>
      <border diagonalUp="0" diagonalDown="0">
        <left/>
        <right/>
        <top/>
        <bottom/>
        <vertical/>
        <horizontal/>
      </border>
    </dxf>
  </dxfs>
  <tableStyles count="2" defaultTableStyle="TableStyleMedium2" defaultPivotStyle="PivotStyleLight16">
    <tableStyle name="Slicer Style 1" pivot="0" table="0" count="1">
      <tableStyleElement type="wholeTable" dxfId="14"/>
    </tableStyle>
    <tableStyle name="SlicerStyleLight1 2" pivot="0" table="0" count="10">
      <tableStyleElement type="wholeTable" dxfId="13"/>
      <tableStyleElement type="headerRow" dxfId="12"/>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0</xdr:col>
      <xdr:colOff>666751</xdr:colOff>
      <xdr:row>0</xdr:row>
      <xdr:rowOff>19049</xdr:rowOff>
    </xdr:from>
    <xdr:to>
      <xdr:col>1</xdr:col>
      <xdr:colOff>971550</xdr:colOff>
      <xdr:row>2</xdr:row>
      <xdr:rowOff>9524</xdr:rowOff>
    </xdr:to>
    <xdr:sp macro="[0]!ShowUF" textlink="">
      <xdr:nvSpPr>
        <xdr:cNvPr id="2" name="Rectangle 1">
          <a:extLst>
            <a:ext uri="{FF2B5EF4-FFF2-40B4-BE49-F238E27FC236}">
              <a16:creationId xmlns:a16="http://schemas.microsoft.com/office/drawing/2014/main" id="{00000000-0008-0000-0000-000002000000}"/>
            </a:ext>
          </a:extLst>
        </xdr:cNvPr>
        <xdr:cNvSpPr/>
      </xdr:nvSpPr>
      <xdr:spPr>
        <a:xfrm>
          <a:off x="666751" y="19049"/>
          <a:ext cx="1171574" cy="371475"/>
        </a:xfrm>
        <a:prstGeom prst="rect">
          <a:avLst/>
        </a:prstGeom>
        <a:solidFill>
          <a:sysClr val="window" lastClr="FFFFFF"/>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 to Database</a:t>
          </a:r>
        </a:p>
      </xdr:txBody>
    </xdr:sp>
    <xdr:clientData fLocksWithSheet="0"/>
  </xdr:twoCellAnchor>
  <xdr:twoCellAnchor>
    <xdr:from>
      <xdr:col>1</xdr:col>
      <xdr:colOff>1209675</xdr:colOff>
      <xdr:row>0</xdr:row>
      <xdr:rowOff>28574</xdr:rowOff>
    </xdr:from>
    <xdr:to>
      <xdr:col>3</xdr:col>
      <xdr:colOff>637032</xdr:colOff>
      <xdr:row>2</xdr:row>
      <xdr:rowOff>19049</xdr:rowOff>
    </xdr:to>
    <xdr:sp macro="[0]!ManualRefresh" textlink="">
      <xdr:nvSpPr>
        <xdr:cNvPr id="8" name="Rectangle 2">
          <a:extLst>
            <a:ext uri="{FF2B5EF4-FFF2-40B4-BE49-F238E27FC236}">
              <a16:creationId xmlns:a16="http://schemas.microsoft.com/office/drawing/2014/main" id="{00000000-0008-0000-0000-000008000000}"/>
            </a:ext>
          </a:extLst>
        </xdr:cNvPr>
        <xdr:cNvSpPr/>
      </xdr:nvSpPr>
      <xdr:spPr>
        <a:xfrm>
          <a:off x="2076450" y="28574"/>
          <a:ext cx="1170432" cy="371475"/>
        </a:xfrm>
        <a:prstGeom prst="rect">
          <a:avLst/>
        </a:prstGeom>
        <a:solidFill>
          <a:sysClr val="window" lastClr="FFFFFF"/>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Refresh</a:t>
          </a:r>
          <a:r>
            <a:rPr lang="en-US" sz="1100" baseline="0">
              <a:solidFill>
                <a:sysClr val="windowText" lastClr="000000"/>
              </a:solidFill>
            </a:rPr>
            <a:t> Table</a:t>
          </a:r>
          <a:endParaRPr lang="en-US" sz="1100">
            <a:solidFill>
              <a:sysClr val="windowText" lastClr="000000"/>
            </a:solidFill>
          </a:endParaRPr>
        </a:p>
      </xdr:txBody>
    </xdr:sp>
    <xdr:clientData fLocksWithSheet="0"/>
  </xdr:twoCellAnchor>
  <xdr:twoCellAnchor editAs="oneCell">
    <xdr:from>
      <xdr:col>0</xdr:col>
      <xdr:colOff>0</xdr:colOff>
      <xdr:row>2</xdr:row>
      <xdr:rowOff>0</xdr:rowOff>
    </xdr:from>
    <xdr:to>
      <xdr:col>4</xdr:col>
      <xdr:colOff>231913</xdr:colOff>
      <xdr:row>9</xdr:row>
      <xdr:rowOff>0</xdr:rowOff>
    </xdr:to>
    <mc:AlternateContent xmlns:mc="http://schemas.openxmlformats.org/markup-compatibility/2006" xmlns:a14="http://schemas.microsoft.com/office/drawing/2010/main">
      <mc:Choice Requires="a14">
        <xdr:graphicFrame macro="">
          <xdr:nvGraphicFramePr>
            <xdr:cNvPr id="4" name="Week of">
              <a:extLst>
                <a:ext uri="{FF2B5EF4-FFF2-40B4-BE49-F238E27FC236}">
                  <a16:creationId xmlns:a16="http://schemas.microsoft.com/office/drawing/2014/main" id="{228B9359-98F0-4FB9-8067-D40F51173316}"/>
                </a:ext>
              </a:extLst>
            </xdr:cNvPr>
            <xdr:cNvGraphicFramePr/>
          </xdr:nvGraphicFramePr>
          <xdr:xfrm>
            <a:off x="0" y="0"/>
            <a:ext cx="0" cy="0"/>
          </xdr:xfrm>
          <a:graphic>
            <a:graphicData uri="http://schemas.microsoft.com/office/drawing/2010/slicer">
              <sle:slicer xmlns:sle="http://schemas.microsoft.com/office/drawing/2010/slicer" name="Week of"/>
            </a:graphicData>
          </a:graphic>
        </xdr:graphicFrame>
      </mc:Choice>
      <mc:Fallback xmlns="">
        <xdr:sp macro="" textlink="">
          <xdr:nvSpPr>
            <xdr:cNvPr id="0" name=""/>
            <xdr:cNvSpPr>
              <a:spLocks noTextEdit="1"/>
            </xdr:cNvSpPr>
          </xdr:nvSpPr>
          <xdr:spPr>
            <a:xfrm>
              <a:off x="0" y="381000"/>
              <a:ext cx="4105274" cy="1352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tephen" refreshedDate="43151.706209953707" createdVersion="6" refreshedVersion="6" minRefreshableVersion="3" recordCount="368">
  <cacheSource type="worksheet">
    <worksheetSource ref="A1:J1048576" sheet="Database"/>
  </cacheSource>
  <cacheFields count="10">
    <cacheField name="Work Order #" numFmtId="0">
      <sharedItems containsString="0" containsBlank="1" containsNumber="1" containsInteger="1" minValue="50360001" maxValue="201480001"/>
    </cacheField>
    <cacheField name="Staff #" numFmtId="0">
      <sharedItems containsString="0" containsBlank="1" containsNumber="1" containsInteger="1" minValue="996" maxValue="1480"/>
    </cacheField>
    <cacheField name="Employee Title" numFmtId="0">
      <sharedItems containsBlank="1"/>
    </cacheField>
    <cacheField name="Date" numFmtId="14">
      <sharedItems containsNonDate="0" containsDate="1" containsString="0" containsBlank="1" minDate="2018-01-06T00:00:00" maxDate="2018-02-19T00:00:00" count="15">
        <d v="2018-02-05T00:00:00"/>
        <d v="2018-02-06T00:00:00"/>
        <d v="2018-02-07T00:00:00"/>
        <d v="2018-02-08T00:00:00"/>
        <d v="2018-02-09T00:00:00"/>
        <d v="2018-02-10T00:00:00"/>
        <d v="2018-02-12T00:00:00"/>
        <d v="2018-02-13T00:00:00"/>
        <d v="2018-02-14T00:00:00"/>
        <d v="2018-02-15T00:00:00"/>
        <d v="2018-02-16T00:00:00"/>
        <d v="2018-02-17T00:00:00"/>
        <d v="2018-02-18T00:00:00"/>
        <m/>
        <d v="2018-01-06T00:00:00" u="1"/>
      </sharedItems>
    </cacheField>
    <cacheField name="Time Type" numFmtId="0">
      <sharedItems containsBlank="1" count="4">
        <s v="Standard"/>
        <s v="Overtime"/>
        <s v="Doubletime"/>
        <m/>
      </sharedItems>
    </cacheField>
    <cacheField name="Quantity" numFmtId="2">
      <sharedItems containsString="0" containsBlank="1" containsNumber="1" minValue="0.5" maxValue="14.5"/>
    </cacheField>
    <cacheField name="Employee Name" numFmtId="8">
      <sharedItems containsBlank="1" count="49">
        <s v="First Name Employee10"/>
        <s v="First Name Employee13"/>
        <s v="First Name Employee19"/>
        <s v="First Name Employee20"/>
        <s v="First Name Employee26"/>
        <s v="First Name Employee2"/>
        <s v="First Name Employee14"/>
        <s v="First Name Employee9"/>
        <s v="First Name Employee1"/>
        <s v="First Name Employee12"/>
        <s v="First Name Employee22"/>
        <s v="First Name Employee21"/>
        <s v="First Name Employee25"/>
        <s v="First Name Employee3"/>
        <s v="First Name Employee23"/>
        <s v="First Name Employee18"/>
        <s v="First Name Employee15"/>
        <s v="First Name Employee5"/>
        <s v="First Name Employee11"/>
        <s v="First Name Employee8"/>
        <s v="First Name Employee6"/>
        <s v="First Name Employee24"/>
        <s v="First Name Employee4"/>
        <m/>
        <s v="Employee 23" u="1"/>
        <s v="Employee 14" u="1"/>
        <s v="FirstName Employee6" u="1"/>
        <s v="Employee 24" u="1"/>
        <s v="Employee 15" u="1"/>
        <s v="Employee 1" u="1"/>
        <s v="Employee 25" u="1"/>
        <s v="Employee 2" u="1"/>
        <s v="Employee 3" u="1"/>
        <s v="Employee 26" u="1"/>
        <s v="Employee 4" u="1"/>
        <s v="Employee 18" u="1"/>
        <s v="Employee 5" u="1"/>
        <s v="Employee 6" u="1"/>
        <s v="Employee 10" u="1"/>
        <s v="Employee 19" u="1"/>
        <s v="Employee 20" u="1"/>
        <s v="Employee 11" u="1"/>
        <s v="Employee 8" u="1"/>
        <s v="Employee 21" u="1"/>
        <s v="FirstName Employee1" u="1"/>
        <s v="Employee 12" u="1"/>
        <s v="Employee 9" u="1"/>
        <s v="Employee 22" u="1"/>
        <s v="Employee 13" u="1"/>
      </sharedItems>
    </cacheField>
    <cacheField name="Override" numFmtId="0">
      <sharedItems containsBlank="1" containsMixedTypes="1" containsNumber="1" containsInteger="1" minValue="2" maxValue="4"/>
    </cacheField>
    <cacheField name="Week Day" numFmtId="0">
      <sharedItems containsString="0" containsBlank="1" containsNumber="1" containsInteger="1" minValue="1" maxValue="7"/>
    </cacheField>
    <cacheField name="Week of" numFmtId="0">
      <sharedItems containsBlank="1" count="5">
        <s v="02/11"/>
        <s v="02/18"/>
        <m/>
        <s v="FALSE" u="1"/>
        <s v="01/07"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368">
  <r>
    <n v="106950001"/>
    <n v="1480"/>
    <s v="Journeyman"/>
    <x v="0"/>
    <x v="0"/>
    <n v="8"/>
    <x v="0"/>
    <s v=""/>
    <n v="1"/>
    <x v="0"/>
  </r>
  <r>
    <n v="106950001"/>
    <n v="1480"/>
    <s v="Journeyman"/>
    <x v="0"/>
    <x v="1"/>
    <n v="4"/>
    <x v="0"/>
    <s v=""/>
    <n v="1"/>
    <x v="0"/>
  </r>
  <r>
    <n v="132170001"/>
    <n v="1122"/>
    <s v="Sr Foreman"/>
    <x v="0"/>
    <x v="0"/>
    <n v="8"/>
    <x v="1"/>
    <n v="2"/>
    <n v="1"/>
    <x v="0"/>
  </r>
  <r>
    <n v="132170001"/>
    <n v="1209"/>
    <s v="Foreman"/>
    <x v="0"/>
    <x v="0"/>
    <n v="8"/>
    <x v="2"/>
    <s v=""/>
    <n v="1"/>
    <x v="0"/>
  </r>
  <r>
    <n v="132170001"/>
    <n v="1360"/>
    <s v="Sr Journeyman"/>
    <x v="0"/>
    <x v="0"/>
    <n v="8"/>
    <x v="3"/>
    <n v="4"/>
    <n v="1"/>
    <x v="0"/>
  </r>
  <r>
    <n v="132170001"/>
    <n v="1082"/>
    <s v="Foreman"/>
    <x v="0"/>
    <x v="0"/>
    <n v="8"/>
    <x v="4"/>
    <s v=""/>
    <n v="1"/>
    <x v="0"/>
  </r>
  <r>
    <n v="132170001"/>
    <n v="996"/>
    <s v="Journeyman"/>
    <x v="0"/>
    <x v="0"/>
    <n v="8"/>
    <x v="5"/>
    <s v=""/>
    <n v="1"/>
    <x v="0"/>
  </r>
  <r>
    <n v="132170001"/>
    <n v="1035"/>
    <s v="Carpenter"/>
    <x v="0"/>
    <x v="0"/>
    <n v="8"/>
    <x v="6"/>
    <s v=""/>
    <n v="1"/>
    <x v="0"/>
  </r>
  <r>
    <n v="132170001"/>
    <n v="1309"/>
    <s v="Apprentice"/>
    <x v="0"/>
    <x v="0"/>
    <n v="8"/>
    <x v="7"/>
    <s v=""/>
    <n v="1"/>
    <x v="0"/>
  </r>
  <r>
    <n v="127990001"/>
    <n v="1007"/>
    <s v="Foreman"/>
    <x v="0"/>
    <x v="0"/>
    <n v="2"/>
    <x v="8"/>
    <s v=""/>
    <n v="1"/>
    <x v="0"/>
  </r>
  <r>
    <n v="51150001"/>
    <n v="1007"/>
    <s v="Foreman"/>
    <x v="0"/>
    <x v="0"/>
    <n v="1"/>
    <x v="8"/>
    <s v=""/>
    <n v="1"/>
    <x v="0"/>
  </r>
  <r>
    <n v="50360001"/>
    <n v="1007"/>
    <s v="Foreman"/>
    <x v="0"/>
    <x v="0"/>
    <n v="1"/>
    <x v="8"/>
    <s v=""/>
    <n v="1"/>
    <x v="0"/>
  </r>
  <r>
    <n v="130340001"/>
    <n v="1007"/>
    <s v="Foreman"/>
    <x v="0"/>
    <x v="0"/>
    <n v="1"/>
    <x v="8"/>
    <s v=""/>
    <n v="1"/>
    <x v="0"/>
  </r>
  <r>
    <n v="132490001"/>
    <n v="1007"/>
    <s v="Foreman"/>
    <x v="0"/>
    <x v="0"/>
    <n v="1"/>
    <x v="8"/>
    <s v=""/>
    <n v="1"/>
    <x v="0"/>
  </r>
  <r>
    <n v="133980001"/>
    <n v="1007"/>
    <s v="Foreman"/>
    <x v="0"/>
    <x v="0"/>
    <n v="2"/>
    <x v="8"/>
    <s v=""/>
    <n v="1"/>
    <x v="0"/>
  </r>
  <r>
    <n v="50360001"/>
    <n v="1032"/>
    <s v="Journeyman"/>
    <x v="0"/>
    <x v="0"/>
    <n v="8"/>
    <x v="9"/>
    <s v=""/>
    <n v="1"/>
    <x v="0"/>
  </r>
  <r>
    <n v="132490001"/>
    <n v="1047"/>
    <s v="Journeyman"/>
    <x v="0"/>
    <x v="0"/>
    <n v="8"/>
    <x v="10"/>
    <s v=""/>
    <n v="1"/>
    <x v="0"/>
  </r>
  <r>
    <n v="127990001"/>
    <n v="1437"/>
    <s v="Journeyman"/>
    <x v="0"/>
    <x v="0"/>
    <n v="4"/>
    <x v="11"/>
    <s v=""/>
    <n v="1"/>
    <x v="0"/>
  </r>
  <r>
    <n v="51150001"/>
    <n v="1437"/>
    <s v="Journeyman"/>
    <x v="0"/>
    <x v="0"/>
    <n v="4"/>
    <x v="11"/>
    <s v=""/>
    <n v="1"/>
    <x v="0"/>
  </r>
  <r>
    <n v="127990001"/>
    <n v="1253"/>
    <s v="Journeyman"/>
    <x v="0"/>
    <x v="0"/>
    <n v="1"/>
    <x v="12"/>
    <s v=""/>
    <n v="1"/>
    <x v="0"/>
  </r>
  <r>
    <n v="51150001"/>
    <n v="1253"/>
    <s v="Journeyman"/>
    <x v="0"/>
    <x v="0"/>
    <n v="1"/>
    <x v="12"/>
    <s v=""/>
    <n v="1"/>
    <x v="0"/>
  </r>
  <r>
    <n v="132490001"/>
    <n v="1253"/>
    <s v="Journeyman"/>
    <x v="0"/>
    <x v="0"/>
    <n v="6"/>
    <x v="12"/>
    <s v=""/>
    <n v="1"/>
    <x v="0"/>
  </r>
  <r>
    <n v="127990001"/>
    <n v="1247"/>
    <s v="Apprentice"/>
    <x v="0"/>
    <x v="0"/>
    <n v="2"/>
    <x v="13"/>
    <s v=""/>
    <n v="1"/>
    <x v="0"/>
  </r>
  <r>
    <n v="51150001"/>
    <n v="1247"/>
    <s v="Apprentice"/>
    <x v="0"/>
    <x v="0"/>
    <n v="1"/>
    <x v="13"/>
    <s v=""/>
    <n v="1"/>
    <x v="0"/>
  </r>
  <r>
    <n v="130340001"/>
    <n v="1247"/>
    <s v="Apprentice"/>
    <x v="0"/>
    <x v="0"/>
    <n v="2"/>
    <x v="13"/>
    <s v=""/>
    <n v="1"/>
    <x v="0"/>
  </r>
  <r>
    <n v="132490001"/>
    <n v="1247"/>
    <s v="Apprentice"/>
    <x v="0"/>
    <x v="0"/>
    <n v="3"/>
    <x v="13"/>
    <s v=""/>
    <n v="1"/>
    <x v="0"/>
  </r>
  <r>
    <n v="132270001"/>
    <n v="1025"/>
    <s v="Foreman"/>
    <x v="0"/>
    <x v="0"/>
    <n v="8"/>
    <x v="14"/>
    <s v=""/>
    <n v="1"/>
    <x v="0"/>
  </r>
  <r>
    <n v="132270001"/>
    <n v="1025"/>
    <s v="Foreman"/>
    <x v="0"/>
    <x v="1"/>
    <n v="1"/>
    <x v="14"/>
    <s v=""/>
    <n v="1"/>
    <x v="0"/>
  </r>
  <r>
    <n v="132270001"/>
    <n v="1027"/>
    <s v="Sr Foreman"/>
    <x v="0"/>
    <x v="0"/>
    <n v="8"/>
    <x v="15"/>
    <n v="2"/>
    <n v="1"/>
    <x v="0"/>
  </r>
  <r>
    <n v="132270001"/>
    <n v="1027"/>
    <s v="Sr Foreman"/>
    <x v="0"/>
    <x v="1"/>
    <n v="0.5"/>
    <x v="15"/>
    <n v="2"/>
    <n v="1"/>
    <x v="0"/>
  </r>
  <r>
    <n v="132270001"/>
    <n v="1121"/>
    <s v="Journeyman"/>
    <x v="0"/>
    <x v="0"/>
    <n v="8"/>
    <x v="16"/>
    <s v=""/>
    <n v="1"/>
    <x v="0"/>
  </r>
  <r>
    <n v="132270001"/>
    <n v="1121"/>
    <s v="Journeyman"/>
    <x v="0"/>
    <x v="1"/>
    <n v="0.5"/>
    <x v="16"/>
    <s v=""/>
    <n v="1"/>
    <x v="0"/>
  </r>
  <r>
    <n v="132270001"/>
    <n v="1120"/>
    <s v="Journeyman"/>
    <x v="0"/>
    <x v="0"/>
    <n v="8"/>
    <x v="17"/>
    <s v=""/>
    <n v="1"/>
    <x v="0"/>
  </r>
  <r>
    <n v="132270001"/>
    <n v="1120"/>
    <s v="Journeyman"/>
    <x v="0"/>
    <x v="1"/>
    <n v="0.5"/>
    <x v="17"/>
    <s v=""/>
    <n v="1"/>
    <x v="0"/>
  </r>
  <r>
    <n v="132270001"/>
    <n v="1354"/>
    <s v="Journeyman"/>
    <x v="0"/>
    <x v="0"/>
    <n v="8"/>
    <x v="18"/>
    <s v=""/>
    <n v="1"/>
    <x v="0"/>
  </r>
  <r>
    <n v="132270001"/>
    <n v="1354"/>
    <s v="Journeyman"/>
    <x v="0"/>
    <x v="1"/>
    <n v="0.5"/>
    <x v="18"/>
    <s v=""/>
    <n v="1"/>
    <x v="0"/>
  </r>
  <r>
    <n v="132270001"/>
    <n v="1212"/>
    <s v="Apprentice"/>
    <x v="0"/>
    <x v="0"/>
    <n v="8"/>
    <x v="19"/>
    <s v=""/>
    <n v="1"/>
    <x v="0"/>
  </r>
  <r>
    <n v="132270001"/>
    <n v="1212"/>
    <s v="Apprentice"/>
    <x v="0"/>
    <x v="1"/>
    <n v="0.5"/>
    <x v="19"/>
    <s v=""/>
    <n v="1"/>
    <x v="0"/>
  </r>
  <r>
    <n v="132170001"/>
    <n v="1122"/>
    <s v="Sr Foreman"/>
    <x v="1"/>
    <x v="0"/>
    <n v="8"/>
    <x v="1"/>
    <n v="2"/>
    <n v="2"/>
    <x v="0"/>
  </r>
  <r>
    <n v="132170001"/>
    <n v="1070"/>
    <s v="Sr Journeyman"/>
    <x v="1"/>
    <x v="0"/>
    <n v="8"/>
    <x v="20"/>
    <n v="4"/>
    <n v="2"/>
    <x v="0"/>
  </r>
  <r>
    <n v="132170001"/>
    <n v="1209"/>
    <s v="Foreman"/>
    <x v="1"/>
    <x v="0"/>
    <n v="8"/>
    <x v="2"/>
    <s v=""/>
    <n v="2"/>
    <x v="0"/>
  </r>
  <r>
    <n v="132170001"/>
    <n v="1035"/>
    <s v="Carpenter"/>
    <x v="1"/>
    <x v="0"/>
    <n v="8"/>
    <x v="6"/>
    <s v=""/>
    <n v="2"/>
    <x v="0"/>
  </r>
  <r>
    <n v="132170001"/>
    <n v="1309"/>
    <s v="Apprentice"/>
    <x v="1"/>
    <x v="0"/>
    <n v="5.5"/>
    <x v="7"/>
    <s v=""/>
    <n v="2"/>
    <x v="0"/>
  </r>
  <r>
    <n v="106950001"/>
    <n v="1467"/>
    <s v="Journeyman"/>
    <x v="1"/>
    <x v="0"/>
    <n v="8"/>
    <x v="21"/>
    <s v=""/>
    <n v="2"/>
    <x v="0"/>
  </r>
  <r>
    <n v="106950001"/>
    <n v="1467"/>
    <s v="Journeyman"/>
    <x v="1"/>
    <x v="1"/>
    <n v="2"/>
    <x v="21"/>
    <s v=""/>
    <n v="2"/>
    <x v="0"/>
  </r>
  <r>
    <n v="132270001"/>
    <n v="1027"/>
    <s v="Sr Foreman"/>
    <x v="1"/>
    <x v="0"/>
    <n v="8"/>
    <x v="15"/>
    <n v="2"/>
    <n v="2"/>
    <x v="0"/>
  </r>
  <r>
    <n v="132270001"/>
    <n v="1027"/>
    <s v="Sr Foreman"/>
    <x v="1"/>
    <x v="1"/>
    <n v="0.5"/>
    <x v="15"/>
    <n v="2"/>
    <n v="2"/>
    <x v="0"/>
  </r>
  <r>
    <n v="132270001"/>
    <n v="1360"/>
    <s v="Sr Journeyman"/>
    <x v="1"/>
    <x v="0"/>
    <n v="8"/>
    <x v="3"/>
    <n v="4"/>
    <n v="2"/>
    <x v="0"/>
  </r>
  <r>
    <n v="132270001"/>
    <n v="1360"/>
    <s v="Sr Journeyman"/>
    <x v="1"/>
    <x v="1"/>
    <n v="0.5"/>
    <x v="3"/>
    <n v="4"/>
    <n v="2"/>
    <x v="0"/>
  </r>
  <r>
    <n v="132270001"/>
    <n v="1121"/>
    <s v="Journeyman"/>
    <x v="1"/>
    <x v="0"/>
    <n v="8"/>
    <x v="16"/>
    <s v=""/>
    <n v="2"/>
    <x v="0"/>
  </r>
  <r>
    <n v="132270001"/>
    <n v="1121"/>
    <s v="Journeyman"/>
    <x v="1"/>
    <x v="1"/>
    <n v="0.5"/>
    <x v="16"/>
    <s v=""/>
    <n v="2"/>
    <x v="0"/>
  </r>
  <r>
    <n v="132270001"/>
    <n v="1120"/>
    <s v="Journeyman"/>
    <x v="1"/>
    <x v="0"/>
    <n v="8"/>
    <x v="17"/>
    <s v=""/>
    <n v="2"/>
    <x v="0"/>
  </r>
  <r>
    <n v="132270001"/>
    <n v="1120"/>
    <s v="Journeyman"/>
    <x v="1"/>
    <x v="1"/>
    <n v="0.5"/>
    <x v="17"/>
    <s v=""/>
    <n v="2"/>
    <x v="0"/>
  </r>
  <r>
    <n v="132270001"/>
    <n v="1212"/>
    <s v="Apprentice"/>
    <x v="1"/>
    <x v="0"/>
    <n v="8"/>
    <x v="19"/>
    <s v=""/>
    <n v="2"/>
    <x v="0"/>
  </r>
  <r>
    <n v="132270001"/>
    <n v="1212"/>
    <s v="Apprentice"/>
    <x v="1"/>
    <x v="1"/>
    <n v="0.5"/>
    <x v="19"/>
    <s v=""/>
    <n v="2"/>
    <x v="0"/>
  </r>
  <r>
    <n v="132270001"/>
    <n v="1082"/>
    <s v="Foreman"/>
    <x v="1"/>
    <x v="0"/>
    <n v="8"/>
    <x v="4"/>
    <s v=""/>
    <n v="2"/>
    <x v="0"/>
  </r>
  <r>
    <n v="132270001"/>
    <n v="1082"/>
    <s v="Foreman"/>
    <x v="1"/>
    <x v="1"/>
    <n v="0.5"/>
    <x v="4"/>
    <s v=""/>
    <n v="2"/>
    <x v="0"/>
  </r>
  <r>
    <n v="132270001"/>
    <n v="1354"/>
    <s v="Journeyman"/>
    <x v="1"/>
    <x v="0"/>
    <n v="7"/>
    <x v="18"/>
    <s v=""/>
    <n v="2"/>
    <x v="0"/>
  </r>
  <r>
    <n v="106950001"/>
    <n v="1480"/>
    <s v="Journeyman"/>
    <x v="1"/>
    <x v="0"/>
    <n v="8"/>
    <x v="0"/>
    <s v=""/>
    <n v="2"/>
    <x v="0"/>
  </r>
  <r>
    <n v="106950001"/>
    <n v="1480"/>
    <s v="Journeyman"/>
    <x v="1"/>
    <x v="1"/>
    <n v="4"/>
    <x v="0"/>
    <s v=""/>
    <n v="2"/>
    <x v="0"/>
  </r>
  <r>
    <n v="132490001"/>
    <n v="1007"/>
    <s v="Foreman"/>
    <x v="1"/>
    <x v="0"/>
    <n v="2"/>
    <x v="8"/>
    <s v=""/>
    <n v="2"/>
    <x v="0"/>
  </r>
  <r>
    <n v="51150001"/>
    <n v="1007"/>
    <s v="Foreman"/>
    <x v="1"/>
    <x v="0"/>
    <n v="1"/>
    <x v="8"/>
    <s v=""/>
    <n v="2"/>
    <x v="0"/>
  </r>
  <r>
    <n v="112690001"/>
    <n v="1007"/>
    <s v="Foreman"/>
    <x v="1"/>
    <x v="0"/>
    <n v="1"/>
    <x v="8"/>
    <s v=""/>
    <n v="2"/>
    <x v="0"/>
  </r>
  <r>
    <n v="130340001"/>
    <n v="1007"/>
    <s v="Foreman"/>
    <x v="1"/>
    <x v="0"/>
    <n v="1"/>
    <x v="8"/>
    <s v=""/>
    <n v="2"/>
    <x v="0"/>
  </r>
  <r>
    <n v="133980001"/>
    <n v="1007"/>
    <s v="Foreman"/>
    <x v="1"/>
    <x v="0"/>
    <n v="3"/>
    <x v="8"/>
    <s v=""/>
    <n v="2"/>
    <x v="0"/>
  </r>
  <r>
    <n v="132490001"/>
    <n v="1032"/>
    <s v="Journeyman"/>
    <x v="1"/>
    <x v="0"/>
    <n v="6"/>
    <x v="9"/>
    <s v=""/>
    <n v="2"/>
    <x v="0"/>
  </r>
  <r>
    <n v="133980001"/>
    <n v="1032"/>
    <s v="Journeyman"/>
    <x v="1"/>
    <x v="0"/>
    <n v="2"/>
    <x v="9"/>
    <s v=""/>
    <n v="2"/>
    <x v="0"/>
  </r>
  <r>
    <n v="132490001"/>
    <n v="1047"/>
    <s v="Journeyman"/>
    <x v="1"/>
    <x v="0"/>
    <n v="8"/>
    <x v="10"/>
    <s v=""/>
    <n v="2"/>
    <x v="0"/>
  </r>
  <r>
    <n v="132490001"/>
    <n v="1437"/>
    <s v="Journeyman"/>
    <x v="1"/>
    <x v="0"/>
    <n v="2"/>
    <x v="11"/>
    <s v=""/>
    <n v="2"/>
    <x v="0"/>
  </r>
  <r>
    <n v="51150001"/>
    <n v="1437"/>
    <s v="Journeyman"/>
    <x v="1"/>
    <x v="0"/>
    <n v="6"/>
    <x v="11"/>
    <s v=""/>
    <n v="2"/>
    <x v="0"/>
  </r>
  <r>
    <n v="112690001"/>
    <n v="1253"/>
    <s v="Journeyman"/>
    <x v="1"/>
    <x v="0"/>
    <n v="6"/>
    <x v="12"/>
    <s v=""/>
    <n v="2"/>
    <x v="0"/>
  </r>
  <r>
    <n v="133980001"/>
    <n v="1253"/>
    <s v="Journeyman"/>
    <x v="1"/>
    <x v="0"/>
    <n v="2"/>
    <x v="12"/>
    <s v=""/>
    <n v="2"/>
    <x v="0"/>
  </r>
  <r>
    <n v="132490001"/>
    <n v="1247"/>
    <s v="Apprentice"/>
    <x v="1"/>
    <x v="0"/>
    <n v="4"/>
    <x v="13"/>
    <s v=""/>
    <n v="2"/>
    <x v="0"/>
  </r>
  <r>
    <n v="130340001"/>
    <n v="1247"/>
    <s v="Apprentice"/>
    <x v="1"/>
    <x v="0"/>
    <n v="4"/>
    <x v="13"/>
    <s v=""/>
    <n v="2"/>
    <x v="0"/>
  </r>
  <r>
    <n v="50360001"/>
    <n v="1025"/>
    <s v="Foreman"/>
    <x v="1"/>
    <x v="0"/>
    <n v="3"/>
    <x v="14"/>
    <s v=""/>
    <n v="2"/>
    <x v="0"/>
  </r>
  <r>
    <n v="133980001"/>
    <n v="1025"/>
    <s v="Foreman"/>
    <x v="1"/>
    <x v="0"/>
    <n v="1"/>
    <x v="14"/>
    <s v=""/>
    <n v="2"/>
    <x v="0"/>
  </r>
  <r>
    <n v="132270001"/>
    <n v="1025"/>
    <s v="Foreman"/>
    <x v="1"/>
    <x v="0"/>
    <n v="4"/>
    <x v="14"/>
    <s v=""/>
    <n v="2"/>
    <x v="0"/>
  </r>
  <r>
    <n v="132270001"/>
    <n v="1025"/>
    <s v="Foreman"/>
    <x v="1"/>
    <x v="1"/>
    <n v="1"/>
    <x v="14"/>
    <s v=""/>
    <n v="2"/>
    <x v="0"/>
  </r>
  <r>
    <n v="132170001"/>
    <n v="1122"/>
    <s v="Sr Foreman"/>
    <x v="2"/>
    <x v="0"/>
    <n v="8"/>
    <x v="1"/>
    <n v="2"/>
    <n v="3"/>
    <x v="0"/>
  </r>
  <r>
    <n v="132170001"/>
    <n v="1209"/>
    <s v="Foreman"/>
    <x v="2"/>
    <x v="0"/>
    <n v="8"/>
    <x v="2"/>
    <s v=""/>
    <n v="3"/>
    <x v="0"/>
  </r>
  <r>
    <n v="132170001"/>
    <n v="1035"/>
    <s v="Carpenter"/>
    <x v="2"/>
    <x v="0"/>
    <n v="8"/>
    <x v="6"/>
    <s v=""/>
    <n v="3"/>
    <x v="0"/>
  </r>
  <r>
    <n v="134440001"/>
    <n v="1035"/>
    <s v="Carpenter"/>
    <x v="2"/>
    <x v="1"/>
    <n v="1"/>
    <x v="6"/>
    <s v=""/>
    <n v="3"/>
    <x v="0"/>
  </r>
  <r>
    <n v="132170001"/>
    <n v="1082"/>
    <s v="Foreman"/>
    <x v="2"/>
    <x v="0"/>
    <n v="8"/>
    <x v="4"/>
    <s v=""/>
    <n v="3"/>
    <x v="0"/>
  </r>
  <r>
    <n v="132170001"/>
    <n v="996"/>
    <s v="Journeyman"/>
    <x v="2"/>
    <x v="0"/>
    <n v="8"/>
    <x v="5"/>
    <s v=""/>
    <n v="3"/>
    <x v="0"/>
  </r>
  <r>
    <n v="132170001"/>
    <n v="1309"/>
    <s v="Apprentice"/>
    <x v="2"/>
    <x v="0"/>
    <n v="8"/>
    <x v="7"/>
    <s v=""/>
    <n v="3"/>
    <x v="0"/>
  </r>
  <r>
    <n v="106950001"/>
    <n v="1480"/>
    <s v="Journeyman"/>
    <x v="2"/>
    <x v="0"/>
    <n v="8"/>
    <x v="0"/>
    <s v=""/>
    <n v="3"/>
    <x v="0"/>
  </r>
  <r>
    <n v="106950001"/>
    <n v="1480"/>
    <s v="Journeyman"/>
    <x v="2"/>
    <x v="1"/>
    <n v="4"/>
    <x v="0"/>
    <s v=""/>
    <n v="3"/>
    <x v="0"/>
  </r>
  <r>
    <n v="106950001"/>
    <n v="1467"/>
    <s v="Journeyman"/>
    <x v="2"/>
    <x v="0"/>
    <n v="8"/>
    <x v="21"/>
    <s v=""/>
    <n v="3"/>
    <x v="0"/>
  </r>
  <r>
    <n v="106950001"/>
    <n v="1467"/>
    <s v="Journeyman"/>
    <x v="2"/>
    <x v="1"/>
    <n v="2"/>
    <x v="21"/>
    <s v=""/>
    <n v="3"/>
    <x v="0"/>
  </r>
  <r>
    <n v="132270001"/>
    <n v="1025"/>
    <s v="Foreman"/>
    <x v="2"/>
    <x v="0"/>
    <n v="8"/>
    <x v="14"/>
    <s v=""/>
    <n v="3"/>
    <x v="0"/>
  </r>
  <r>
    <n v="132270001"/>
    <n v="1025"/>
    <s v="Foreman"/>
    <x v="2"/>
    <x v="1"/>
    <n v="1.5"/>
    <x v="14"/>
    <s v=""/>
    <n v="3"/>
    <x v="0"/>
  </r>
  <r>
    <n v="132270001"/>
    <n v="1027"/>
    <s v="Sr Foreman"/>
    <x v="2"/>
    <x v="0"/>
    <n v="8"/>
    <x v="15"/>
    <n v="2"/>
    <n v="3"/>
    <x v="0"/>
  </r>
  <r>
    <n v="132270001"/>
    <n v="1027"/>
    <s v="Sr Foreman"/>
    <x v="2"/>
    <x v="1"/>
    <n v="1"/>
    <x v="15"/>
    <n v="2"/>
    <n v="3"/>
    <x v="0"/>
  </r>
  <r>
    <n v="132270001"/>
    <n v="1121"/>
    <s v="Journeyman"/>
    <x v="2"/>
    <x v="0"/>
    <n v="8"/>
    <x v="16"/>
    <s v=""/>
    <n v="3"/>
    <x v="0"/>
  </r>
  <r>
    <n v="132270001"/>
    <n v="1121"/>
    <s v="Journeyman"/>
    <x v="2"/>
    <x v="1"/>
    <n v="0.5"/>
    <x v="16"/>
    <s v=""/>
    <n v="3"/>
    <x v="0"/>
  </r>
  <r>
    <n v="132270001"/>
    <n v="1360"/>
    <s v="Sr Journeyman"/>
    <x v="2"/>
    <x v="0"/>
    <n v="8"/>
    <x v="3"/>
    <n v="4"/>
    <n v="3"/>
    <x v="0"/>
  </r>
  <r>
    <n v="132270001"/>
    <n v="1360"/>
    <s v="Sr Journeyman"/>
    <x v="2"/>
    <x v="1"/>
    <n v="0.5"/>
    <x v="3"/>
    <n v="4"/>
    <n v="3"/>
    <x v="0"/>
  </r>
  <r>
    <n v="132270001"/>
    <n v="1120"/>
    <s v="Journeyman"/>
    <x v="2"/>
    <x v="0"/>
    <n v="8"/>
    <x v="17"/>
    <s v=""/>
    <n v="3"/>
    <x v="0"/>
  </r>
  <r>
    <n v="132270001"/>
    <n v="1120"/>
    <s v="Journeyman"/>
    <x v="2"/>
    <x v="1"/>
    <n v="0.5"/>
    <x v="17"/>
    <s v=""/>
    <n v="3"/>
    <x v="0"/>
  </r>
  <r>
    <n v="132270001"/>
    <n v="1354"/>
    <s v="Journeyman"/>
    <x v="2"/>
    <x v="0"/>
    <n v="8"/>
    <x v="18"/>
    <s v=""/>
    <n v="3"/>
    <x v="0"/>
  </r>
  <r>
    <n v="132270001"/>
    <n v="1354"/>
    <s v="Journeyman"/>
    <x v="2"/>
    <x v="1"/>
    <n v="0.5"/>
    <x v="18"/>
    <s v=""/>
    <n v="3"/>
    <x v="0"/>
  </r>
  <r>
    <n v="132270001"/>
    <n v="1212"/>
    <s v="Apprentice"/>
    <x v="2"/>
    <x v="0"/>
    <n v="8"/>
    <x v="19"/>
    <s v=""/>
    <n v="3"/>
    <x v="0"/>
  </r>
  <r>
    <n v="132270001"/>
    <n v="1212"/>
    <s v="Apprentice"/>
    <x v="2"/>
    <x v="1"/>
    <n v="0.5"/>
    <x v="19"/>
    <s v=""/>
    <n v="3"/>
    <x v="0"/>
  </r>
  <r>
    <n v="133980001"/>
    <n v="1007"/>
    <s v="Foreman"/>
    <x v="2"/>
    <x v="0"/>
    <n v="3"/>
    <x v="8"/>
    <s v=""/>
    <n v="3"/>
    <x v="0"/>
  </r>
  <r>
    <n v="132490001"/>
    <n v="1007"/>
    <s v="Foreman"/>
    <x v="2"/>
    <x v="0"/>
    <n v="3"/>
    <x v="8"/>
    <s v=""/>
    <n v="3"/>
    <x v="0"/>
  </r>
  <r>
    <n v="132490001"/>
    <n v="1047"/>
    <s v="Journeyman"/>
    <x v="2"/>
    <x v="0"/>
    <n v="7"/>
    <x v="10"/>
    <s v=""/>
    <n v="3"/>
    <x v="0"/>
  </r>
  <r>
    <n v="132270001"/>
    <n v="1032"/>
    <s v="Journeyman"/>
    <x v="2"/>
    <x v="0"/>
    <n v="8"/>
    <x v="9"/>
    <s v=""/>
    <n v="3"/>
    <x v="0"/>
  </r>
  <r>
    <n v="132270001"/>
    <n v="1032"/>
    <s v="Journeyman"/>
    <x v="2"/>
    <x v="1"/>
    <n v="1.5"/>
    <x v="9"/>
    <s v=""/>
    <n v="3"/>
    <x v="0"/>
  </r>
  <r>
    <n v="133980001"/>
    <n v="1253"/>
    <s v="Journeyman"/>
    <x v="2"/>
    <x v="0"/>
    <n v="7"/>
    <x v="12"/>
    <s v=""/>
    <n v="3"/>
    <x v="0"/>
  </r>
  <r>
    <n v="133910001"/>
    <n v="1437"/>
    <s v="Journeyman"/>
    <x v="2"/>
    <x v="0"/>
    <n v="5"/>
    <x v="11"/>
    <s v=""/>
    <n v="3"/>
    <x v="0"/>
  </r>
  <r>
    <n v="131220004"/>
    <n v="1437"/>
    <s v="Journeyman"/>
    <x v="2"/>
    <x v="0"/>
    <n v="3"/>
    <x v="11"/>
    <s v=""/>
    <n v="3"/>
    <x v="0"/>
  </r>
  <r>
    <n v="131220004"/>
    <n v="1437"/>
    <s v="Journeyman"/>
    <x v="2"/>
    <x v="1"/>
    <n v="1"/>
    <x v="11"/>
    <s v=""/>
    <n v="3"/>
    <x v="0"/>
  </r>
  <r>
    <n v="106950001"/>
    <n v="1467"/>
    <s v="Journeyman"/>
    <x v="3"/>
    <x v="0"/>
    <n v="8"/>
    <x v="21"/>
    <s v=""/>
    <n v="4"/>
    <x v="0"/>
  </r>
  <r>
    <n v="106950001"/>
    <n v="1467"/>
    <s v="Journeyman"/>
    <x v="3"/>
    <x v="1"/>
    <n v="2"/>
    <x v="21"/>
    <s v=""/>
    <n v="4"/>
    <x v="0"/>
  </r>
  <r>
    <n v="106950001"/>
    <n v="1480"/>
    <s v="Journeyman"/>
    <x v="3"/>
    <x v="0"/>
    <n v="8"/>
    <x v="0"/>
    <s v=""/>
    <n v="4"/>
    <x v="0"/>
  </r>
  <r>
    <n v="106950001"/>
    <n v="1480"/>
    <s v="Journeyman"/>
    <x v="3"/>
    <x v="1"/>
    <n v="4"/>
    <x v="0"/>
    <s v=""/>
    <n v="4"/>
    <x v="0"/>
  </r>
  <r>
    <n v="132490001"/>
    <n v="1032"/>
    <s v="Journeyman"/>
    <x v="3"/>
    <x v="0"/>
    <n v="8"/>
    <x v="9"/>
    <s v=""/>
    <n v="4"/>
    <x v="0"/>
  </r>
  <r>
    <n v="91650001"/>
    <n v="1437"/>
    <s v="Journeyman"/>
    <x v="3"/>
    <x v="0"/>
    <n v="3"/>
    <x v="11"/>
    <s v=""/>
    <n v="4"/>
    <x v="0"/>
  </r>
  <r>
    <n v="132490001"/>
    <n v="1437"/>
    <s v="Journeyman"/>
    <x v="3"/>
    <x v="0"/>
    <n v="5"/>
    <x v="11"/>
    <s v=""/>
    <n v="4"/>
    <x v="0"/>
  </r>
  <r>
    <n v="91650001"/>
    <n v="1253"/>
    <s v="Journeyman"/>
    <x v="3"/>
    <x v="0"/>
    <n v="3"/>
    <x v="12"/>
    <s v=""/>
    <n v="4"/>
    <x v="0"/>
  </r>
  <r>
    <n v="133980001"/>
    <n v="1253"/>
    <s v="Journeyman"/>
    <x v="3"/>
    <x v="0"/>
    <n v="5"/>
    <x v="12"/>
    <s v=""/>
    <n v="4"/>
    <x v="0"/>
  </r>
  <r>
    <n v="91650001"/>
    <n v="1047"/>
    <s v="Journeyman"/>
    <x v="3"/>
    <x v="0"/>
    <n v="3"/>
    <x v="10"/>
    <s v=""/>
    <n v="4"/>
    <x v="0"/>
  </r>
  <r>
    <n v="133980001"/>
    <n v="1047"/>
    <s v="Journeyman"/>
    <x v="3"/>
    <x v="0"/>
    <n v="5"/>
    <x v="10"/>
    <s v=""/>
    <n v="4"/>
    <x v="0"/>
  </r>
  <r>
    <n v="132170001"/>
    <n v="1007"/>
    <s v="Foreman"/>
    <x v="3"/>
    <x v="0"/>
    <n v="4"/>
    <x v="8"/>
    <s v=""/>
    <n v="4"/>
    <x v="0"/>
  </r>
  <r>
    <n v="132270001"/>
    <n v="1025"/>
    <s v="Foreman"/>
    <x v="3"/>
    <x v="0"/>
    <n v="8"/>
    <x v="14"/>
    <s v=""/>
    <n v="4"/>
    <x v="0"/>
  </r>
  <r>
    <n v="132270001"/>
    <n v="1025"/>
    <s v="Foreman"/>
    <x v="3"/>
    <x v="1"/>
    <n v="0.5"/>
    <x v="14"/>
    <s v=""/>
    <n v="4"/>
    <x v="0"/>
  </r>
  <r>
    <n v="132270001"/>
    <n v="1027"/>
    <s v="Sr Foreman"/>
    <x v="3"/>
    <x v="0"/>
    <n v="8"/>
    <x v="15"/>
    <n v="2"/>
    <n v="4"/>
    <x v="0"/>
  </r>
  <r>
    <n v="132270001"/>
    <n v="1027"/>
    <s v="Sr Foreman"/>
    <x v="3"/>
    <x v="1"/>
    <n v="0.5"/>
    <x v="15"/>
    <n v="2"/>
    <n v="4"/>
    <x v="0"/>
  </r>
  <r>
    <n v="132270001"/>
    <n v="1121"/>
    <s v="Journeyman"/>
    <x v="3"/>
    <x v="0"/>
    <n v="8"/>
    <x v="16"/>
    <s v=""/>
    <n v="4"/>
    <x v="0"/>
  </r>
  <r>
    <n v="132270001"/>
    <n v="1121"/>
    <s v="Journeyman"/>
    <x v="3"/>
    <x v="1"/>
    <n v="0.5"/>
    <x v="16"/>
    <s v=""/>
    <n v="4"/>
    <x v="0"/>
  </r>
  <r>
    <n v="132270001"/>
    <n v="1360"/>
    <s v="Sr Journeyman"/>
    <x v="3"/>
    <x v="0"/>
    <n v="8"/>
    <x v="3"/>
    <n v="4"/>
    <n v="4"/>
    <x v="0"/>
  </r>
  <r>
    <n v="132270001"/>
    <n v="1360"/>
    <s v="Sr Journeyman"/>
    <x v="3"/>
    <x v="1"/>
    <n v="0.5"/>
    <x v="3"/>
    <n v="4"/>
    <n v="4"/>
    <x v="0"/>
  </r>
  <r>
    <n v="132270001"/>
    <n v="1120"/>
    <s v="Journeyman"/>
    <x v="3"/>
    <x v="0"/>
    <n v="8"/>
    <x v="17"/>
    <s v=""/>
    <n v="4"/>
    <x v="0"/>
  </r>
  <r>
    <n v="132270001"/>
    <n v="1120"/>
    <s v="Journeyman"/>
    <x v="3"/>
    <x v="1"/>
    <n v="0.5"/>
    <x v="17"/>
    <s v=""/>
    <n v="4"/>
    <x v="0"/>
  </r>
  <r>
    <n v="132270001"/>
    <n v="1354"/>
    <s v="Journeyman"/>
    <x v="3"/>
    <x v="0"/>
    <n v="8"/>
    <x v="18"/>
    <s v=""/>
    <n v="4"/>
    <x v="0"/>
  </r>
  <r>
    <n v="132270001"/>
    <n v="1354"/>
    <s v="Journeyman"/>
    <x v="3"/>
    <x v="1"/>
    <n v="0.5"/>
    <x v="18"/>
    <s v=""/>
    <n v="4"/>
    <x v="0"/>
  </r>
  <r>
    <n v="132270001"/>
    <n v="1212"/>
    <s v="Apprentice"/>
    <x v="3"/>
    <x v="0"/>
    <n v="8"/>
    <x v="19"/>
    <s v=""/>
    <n v="4"/>
    <x v="0"/>
  </r>
  <r>
    <n v="132270001"/>
    <n v="1212"/>
    <s v="Apprentice"/>
    <x v="3"/>
    <x v="1"/>
    <n v="0.5"/>
    <x v="19"/>
    <s v=""/>
    <n v="4"/>
    <x v="0"/>
  </r>
  <r>
    <n v="132170001"/>
    <n v="1122"/>
    <s v="Sr Foreman"/>
    <x v="3"/>
    <x v="0"/>
    <n v="8"/>
    <x v="1"/>
    <n v="2"/>
    <n v="4"/>
    <x v="0"/>
  </r>
  <r>
    <n v="132170001"/>
    <n v="1209"/>
    <s v="Foreman"/>
    <x v="3"/>
    <x v="0"/>
    <n v="8"/>
    <x v="2"/>
    <s v=""/>
    <n v="4"/>
    <x v="0"/>
  </r>
  <r>
    <n v="132170001"/>
    <n v="1082"/>
    <s v="Foreman"/>
    <x v="3"/>
    <x v="0"/>
    <n v="8"/>
    <x v="4"/>
    <s v=""/>
    <n v="4"/>
    <x v="0"/>
  </r>
  <r>
    <n v="132170001"/>
    <n v="1035"/>
    <s v="Carpenter"/>
    <x v="3"/>
    <x v="0"/>
    <n v="8"/>
    <x v="6"/>
    <s v=""/>
    <n v="4"/>
    <x v="0"/>
  </r>
  <r>
    <n v="132170001"/>
    <n v="996"/>
    <s v="Journeyman"/>
    <x v="3"/>
    <x v="0"/>
    <n v="8"/>
    <x v="5"/>
    <s v=""/>
    <n v="4"/>
    <x v="0"/>
  </r>
  <r>
    <n v="132170001"/>
    <n v="1309"/>
    <s v="Apprentice"/>
    <x v="3"/>
    <x v="0"/>
    <n v="8"/>
    <x v="7"/>
    <s v=""/>
    <n v="4"/>
    <x v="0"/>
  </r>
  <r>
    <n v="132170001"/>
    <n v="1122"/>
    <s v="Sr Foreman"/>
    <x v="4"/>
    <x v="0"/>
    <n v="6"/>
    <x v="1"/>
    <n v="2"/>
    <n v="5"/>
    <x v="0"/>
  </r>
  <r>
    <n v="132170001"/>
    <n v="1209"/>
    <s v="Foreman"/>
    <x v="4"/>
    <x v="0"/>
    <n v="6"/>
    <x v="2"/>
    <s v=""/>
    <n v="5"/>
    <x v="0"/>
  </r>
  <r>
    <n v="132170001"/>
    <n v="1035"/>
    <s v="Carpenter"/>
    <x v="4"/>
    <x v="0"/>
    <n v="6"/>
    <x v="6"/>
    <s v=""/>
    <n v="5"/>
    <x v="0"/>
  </r>
  <r>
    <n v="132170001"/>
    <n v="996"/>
    <s v="Journeyman"/>
    <x v="4"/>
    <x v="0"/>
    <n v="6"/>
    <x v="5"/>
    <s v=""/>
    <n v="5"/>
    <x v="0"/>
  </r>
  <r>
    <n v="132170001"/>
    <n v="1309"/>
    <s v="Apprentice"/>
    <x v="4"/>
    <x v="0"/>
    <n v="6"/>
    <x v="7"/>
    <s v=""/>
    <n v="5"/>
    <x v="0"/>
  </r>
  <r>
    <n v="106950001"/>
    <n v="1467"/>
    <s v="Journeyman"/>
    <x v="4"/>
    <x v="0"/>
    <n v="8"/>
    <x v="21"/>
    <s v=""/>
    <n v="5"/>
    <x v="0"/>
  </r>
  <r>
    <n v="106950001"/>
    <n v="1467"/>
    <s v="Journeyman"/>
    <x v="4"/>
    <x v="1"/>
    <n v="2"/>
    <x v="21"/>
    <s v=""/>
    <n v="5"/>
    <x v="0"/>
  </r>
  <r>
    <n v="132270001"/>
    <n v="1027"/>
    <s v="Sr Foreman"/>
    <x v="4"/>
    <x v="0"/>
    <n v="8"/>
    <x v="15"/>
    <n v="2"/>
    <n v="5"/>
    <x v="0"/>
  </r>
  <r>
    <n v="132270001"/>
    <n v="1027"/>
    <s v="Sr Foreman"/>
    <x v="4"/>
    <x v="1"/>
    <n v="0.5"/>
    <x v="15"/>
    <n v="2"/>
    <n v="5"/>
    <x v="0"/>
  </r>
  <r>
    <n v="132270001"/>
    <n v="1360"/>
    <s v="Sr Journeyman"/>
    <x v="4"/>
    <x v="0"/>
    <n v="8"/>
    <x v="3"/>
    <n v="4"/>
    <n v="5"/>
    <x v="0"/>
  </r>
  <r>
    <n v="132270001"/>
    <n v="1360"/>
    <s v="Sr Journeyman"/>
    <x v="4"/>
    <x v="1"/>
    <n v="0.5"/>
    <x v="3"/>
    <n v="4"/>
    <n v="5"/>
    <x v="0"/>
  </r>
  <r>
    <n v="132270001"/>
    <n v="1121"/>
    <s v="Journeyman"/>
    <x v="4"/>
    <x v="0"/>
    <n v="8"/>
    <x v="16"/>
    <s v=""/>
    <n v="5"/>
    <x v="0"/>
  </r>
  <r>
    <n v="132270001"/>
    <n v="1121"/>
    <s v="Journeyman"/>
    <x v="4"/>
    <x v="1"/>
    <n v="0.5"/>
    <x v="16"/>
    <s v=""/>
    <n v="5"/>
    <x v="0"/>
  </r>
  <r>
    <n v="132270001"/>
    <n v="1120"/>
    <s v="Journeyman"/>
    <x v="4"/>
    <x v="0"/>
    <n v="8"/>
    <x v="17"/>
    <s v=""/>
    <n v="5"/>
    <x v="0"/>
  </r>
  <r>
    <n v="132270001"/>
    <n v="1120"/>
    <s v="Journeyman"/>
    <x v="4"/>
    <x v="1"/>
    <n v="0.5"/>
    <x v="17"/>
    <s v=""/>
    <n v="5"/>
    <x v="0"/>
  </r>
  <r>
    <n v="132270001"/>
    <n v="1354"/>
    <s v="Journeyman"/>
    <x v="4"/>
    <x v="0"/>
    <n v="8"/>
    <x v="18"/>
    <s v=""/>
    <n v="5"/>
    <x v="0"/>
  </r>
  <r>
    <n v="132270001"/>
    <n v="1354"/>
    <s v="Journeyman"/>
    <x v="4"/>
    <x v="1"/>
    <n v="0.5"/>
    <x v="18"/>
    <s v=""/>
    <n v="5"/>
    <x v="0"/>
  </r>
  <r>
    <n v="132270001"/>
    <n v="1212"/>
    <s v="Apprentice"/>
    <x v="4"/>
    <x v="0"/>
    <n v="8"/>
    <x v="19"/>
    <s v=""/>
    <n v="5"/>
    <x v="0"/>
  </r>
  <r>
    <n v="132270001"/>
    <n v="1212"/>
    <s v="Apprentice"/>
    <x v="4"/>
    <x v="1"/>
    <n v="0.5"/>
    <x v="19"/>
    <s v=""/>
    <n v="5"/>
    <x v="0"/>
  </r>
  <r>
    <n v="106950001"/>
    <n v="1480"/>
    <s v="Journeyman"/>
    <x v="4"/>
    <x v="0"/>
    <n v="8"/>
    <x v="0"/>
    <s v=""/>
    <n v="5"/>
    <x v="0"/>
  </r>
  <r>
    <n v="106950001"/>
    <n v="1480"/>
    <s v="Journeyman"/>
    <x v="4"/>
    <x v="1"/>
    <n v="4"/>
    <x v="0"/>
    <s v=""/>
    <n v="5"/>
    <x v="0"/>
  </r>
  <r>
    <n v="106950001"/>
    <n v="1480"/>
    <s v="Journeyman"/>
    <x v="4"/>
    <x v="2"/>
    <n v="1.5"/>
    <x v="0"/>
    <s v=""/>
    <n v="5"/>
    <x v="0"/>
  </r>
  <r>
    <n v="132270001"/>
    <n v="1025"/>
    <s v="Foreman"/>
    <x v="4"/>
    <x v="0"/>
    <n v="5"/>
    <x v="14"/>
    <s v=""/>
    <n v="5"/>
    <x v="0"/>
  </r>
  <r>
    <n v="50360001"/>
    <n v="1025"/>
    <s v="Foreman"/>
    <x v="4"/>
    <x v="0"/>
    <n v="3"/>
    <x v="14"/>
    <s v=""/>
    <n v="5"/>
    <x v="0"/>
  </r>
  <r>
    <n v="50360001"/>
    <n v="1025"/>
    <s v="Foreman"/>
    <x v="4"/>
    <x v="1"/>
    <n v="2.5"/>
    <x v="14"/>
    <s v=""/>
    <n v="5"/>
    <x v="0"/>
  </r>
  <r>
    <n v="132270001"/>
    <n v="1007"/>
    <s v="Foreman"/>
    <x v="4"/>
    <x v="0"/>
    <n v="1"/>
    <x v="8"/>
    <s v=""/>
    <n v="5"/>
    <x v="0"/>
  </r>
  <r>
    <n v="50360001"/>
    <n v="1007"/>
    <s v="Foreman"/>
    <x v="4"/>
    <x v="0"/>
    <n v="1"/>
    <x v="8"/>
    <s v=""/>
    <n v="5"/>
    <x v="0"/>
  </r>
  <r>
    <n v="50360001"/>
    <n v="1007"/>
    <s v="Foreman"/>
    <x v="4"/>
    <x v="1"/>
    <n v="2.5"/>
    <x v="8"/>
    <s v=""/>
    <n v="5"/>
    <x v="0"/>
  </r>
  <r>
    <n v="132490001"/>
    <n v="1007"/>
    <s v="Foreman"/>
    <x v="4"/>
    <x v="0"/>
    <n v="2"/>
    <x v="8"/>
    <s v=""/>
    <n v="5"/>
    <x v="0"/>
  </r>
  <r>
    <n v="201480001"/>
    <n v="1007"/>
    <s v="Foreman"/>
    <x v="4"/>
    <x v="0"/>
    <n v="2"/>
    <x v="8"/>
    <s v=""/>
    <n v="5"/>
    <x v="0"/>
  </r>
  <r>
    <n v="133980001"/>
    <n v="1007"/>
    <s v="Foreman"/>
    <x v="4"/>
    <x v="0"/>
    <n v="2"/>
    <x v="8"/>
    <s v=""/>
    <n v="5"/>
    <x v="0"/>
  </r>
  <r>
    <n v="132490001"/>
    <n v="1047"/>
    <s v="Journeyman"/>
    <x v="4"/>
    <x v="0"/>
    <n v="8"/>
    <x v="10"/>
    <s v=""/>
    <n v="5"/>
    <x v="0"/>
  </r>
  <r>
    <n v="132490001"/>
    <n v="1032"/>
    <s v="Journeyman"/>
    <x v="4"/>
    <x v="0"/>
    <n v="8"/>
    <x v="9"/>
    <s v=""/>
    <n v="5"/>
    <x v="0"/>
  </r>
  <r>
    <n v="201480001"/>
    <n v="1437"/>
    <s v="Journeyman"/>
    <x v="4"/>
    <x v="0"/>
    <n v="8"/>
    <x v="11"/>
    <s v=""/>
    <n v="5"/>
    <x v="0"/>
  </r>
  <r>
    <n v="133940001"/>
    <n v="1082"/>
    <s v="Foreman"/>
    <x v="4"/>
    <x v="0"/>
    <n v="6"/>
    <x v="4"/>
    <s v=""/>
    <n v="5"/>
    <x v="0"/>
  </r>
  <r>
    <n v="133980001"/>
    <n v="1082"/>
    <s v="Foreman"/>
    <x v="4"/>
    <x v="0"/>
    <n v="2"/>
    <x v="4"/>
    <s v=""/>
    <n v="5"/>
    <x v="0"/>
  </r>
  <r>
    <n v="133980001"/>
    <n v="1253"/>
    <s v="Journeyman"/>
    <x v="4"/>
    <x v="0"/>
    <n v="8"/>
    <x v="12"/>
    <s v=""/>
    <n v="5"/>
    <x v="0"/>
  </r>
  <r>
    <n v="132270001"/>
    <n v="1204"/>
    <s v="Apprentice"/>
    <x v="4"/>
    <x v="0"/>
    <n v="8"/>
    <x v="22"/>
    <s v=""/>
    <n v="5"/>
    <x v="0"/>
  </r>
  <r>
    <n v="106950001"/>
    <n v="1467"/>
    <s v="Journeyman"/>
    <x v="5"/>
    <x v="1"/>
    <n v="10"/>
    <x v="21"/>
    <s v=""/>
    <n v="6"/>
    <x v="0"/>
  </r>
  <r>
    <n v="106950001"/>
    <n v="1480"/>
    <s v="Journeyman"/>
    <x v="5"/>
    <x v="1"/>
    <n v="11"/>
    <x v="0"/>
    <s v=""/>
    <n v="6"/>
    <x v="0"/>
  </r>
  <r>
    <n v="132270001"/>
    <n v="1122"/>
    <s v="Sr Foreman"/>
    <x v="5"/>
    <x v="1"/>
    <n v="4"/>
    <x v="1"/>
    <n v="2"/>
    <n v="6"/>
    <x v="0"/>
  </r>
  <r>
    <n v="106950001"/>
    <n v="1480"/>
    <s v="Journeyman"/>
    <x v="6"/>
    <x v="0"/>
    <n v="8"/>
    <x v="0"/>
    <s v=""/>
    <n v="1"/>
    <x v="1"/>
  </r>
  <r>
    <n v="106950001"/>
    <n v="1480"/>
    <s v="Journeyman"/>
    <x v="6"/>
    <x v="1"/>
    <n v="4"/>
    <x v="0"/>
    <s v=""/>
    <n v="1"/>
    <x v="1"/>
  </r>
  <r>
    <n v="132170001"/>
    <n v="1122"/>
    <s v="Sr Foreman"/>
    <x v="6"/>
    <x v="0"/>
    <n v="6"/>
    <x v="1"/>
    <n v="2"/>
    <n v="1"/>
    <x v="1"/>
  </r>
  <r>
    <n v="134780001"/>
    <n v="1122"/>
    <s v="Sr Foreman"/>
    <x v="6"/>
    <x v="0"/>
    <n v="2"/>
    <x v="1"/>
    <n v="2"/>
    <n v="1"/>
    <x v="1"/>
  </r>
  <r>
    <n v="134780001"/>
    <n v="1122"/>
    <s v="Sr Foreman"/>
    <x v="6"/>
    <x v="1"/>
    <n v="4"/>
    <x v="1"/>
    <n v="2"/>
    <n v="1"/>
    <x v="1"/>
  </r>
  <r>
    <n v="134780001"/>
    <n v="1032"/>
    <s v="Journeyman"/>
    <x v="6"/>
    <x v="0"/>
    <n v="2"/>
    <x v="9"/>
    <s v=""/>
    <n v="1"/>
    <x v="1"/>
  </r>
  <r>
    <n v="134780001"/>
    <n v="1032"/>
    <s v="Journeyman"/>
    <x v="6"/>
    <x v="1"/>
    <n v="4"/>
    <x v="9"/>
    <s v=""/>
    <n v="1"/>
    <x v="1"/>
  </r>
  <r>
    <n v="132490001"/>
    <n v="1032"/>
    <s v="Journeyman"/>
    <x v="6"/>
    <x v="0"/>
    <n v="6"/>
    <x v="9"/>
    <s v=""/>
    <n v="1"/>
    <x v="1"/>
  </r>
  <r>
    <n v="134780001"/>
    <n v="1437"/>
    <s v="Journeyman"/>
    <x v="6"/>
    <x v="0"/>
    <n v="2"/>
    <x v="11"/>
    <s v=""/>
    <n v="1"/>
    <x v="1"/>
  </r>
  <r>
    <n v="134780001"/>
    <n v="1437"/>
    <s v="Journeyman"/>
    <x v="6"/>
    <x v="1"/>
    <n v="4"/>
    <x v="11"/>
    <s v=""/>
    <n v="1"/>
    <x v="1"/>
  </r>
  <r>
    <n v="201430001"/>
    <n v="1437"/>
    <s v="Journeyman"/>
    <x v="6"/>
    <x v="0"/>
    <n v="6"/>
    <x v="11"/>
    <s v=""/>
    <n v="1"/>
    <x v="1"/>
  </r>
  <r>
    <n v="132490001"/>
    <n v="1007"/>
    <s v="Foreman"/>
    <x v="6"/>
    <x v="0"/>
    <n v="1"/>
    <x v="8"/>
    <s v=""/>
    <n v="1"/>
    <x v="1"/>
  </r>
  <r>
    <n v="133980001"/>
    <n v="1007"/>
    <s v="Foreman"/>
    <x v="6"/>
    <x v="0"/>
    <n v="2"/>
    <x v="8"/>
    <s v=""/>
    <n v="1"/>
    <x v="1"/>
  </r>
  <r>
    <n v="201430001"/>
    <n v="1007"/>
    <s v="Foreman"/>
    <x v="6"/>
    <x v="0"/>
    <n v="1"/>
    <x v="8"/>
    <s v=""/>
    <n v="1"/>
    <x v="1"/>
  </r>
  <r>
    <n v="134770001"/>
    <n v="1007"/>
    <s v="Foreman"/>
    <x v="6"/>
    <x v="0"/>
    <n v="4"/>
    <x v="8"/>
    <s v=""/>
    <n v="1"/>
    <x v="1"/>
  </r>
  <r>
    <n v="134770001"/>
    <n v="1007"/>
    <s v="Foreman"/>
    <x v="6"/>
    <x v="1"/>
    <n v="4"/>
    <x v="8"/>
    <s v=""/>
    <n v="1"/>
    <x v="1"/>
  </r>
  <r>
    <n v="134770001"/>
    <n v="1007"/>
    <s v="Foreman"/>
    <x v="6"/>
    <x v="2"/>
    <n v="1"/>
    <x v="8"/>
    <s v=""/>
    <n v="1"/>
    <x v="1"/>
  </r>
  <r>
    <n v="132490001"/>
    <n v="1047"/>
    <s v="Journeyman"/>
    <x v="6"/>
    <x v="0"/>
    <n v="8"/>
    <x v="10"/>
    <s v=""/>
    <n v="1"/>
    <x v="1"/>
  </r>
  <r>
    <n v="133980001"/>
    <n v="1082"/>
    <s v="Foreman"/>
    <x v="6"/>
    <x v="0"/>
    <n v="8"/>
    <x v="4"/>
    <s v=""/>
    <n v="1"/>
    <x v="1"/>
  </r>
  <r>
    <n v="133980001"/>
    <n v="1247"/>
    <s v="Apprentice"/>
    <x v="6"/>
    <x v="0"/>
    <n v="2"/>
    <x v="13"/>
    <s v=""/>
    <n v="1"/>
    <x v="1"/>
  </r>
  <r>
    <n v="201430001"/>
    <n v="1247"/>
    <s v="Apprentice"/>
    <x v="6"/>
    <x v="0"/>
    <n v="2"/>
    <x v="13"/>
    <s v=""/>
    <n v="1"/>
    <x v="1"/>
  </r>
  <r>
    <n v="134770001"/>
    <n v="1247"/>
    <s v="Apprentice"/>
    <x v="6"/>
    <x v="0"/>
    <n v="4"/>
    <x v="13"/>
    <s v=""/>
    <n v="1"/>
    <x v="1"/>
  </r>
  <r>
    <n v="134770001"/>
    <n v="1247"/>
    <s v="Apprentice"/>
    <x v="6"/>
    <x v="1"/>
    <n v="4"/>
    <x v="13"/>
    <s v=""/>
    <n v="1"/>
    <x v="1"/>
  </r>
  <r>
    <n v="134770001"/>
    <n v="1247"/>
    <s v="Apprentice"/>
    <x v="6"/>
    <x v="2"/>
    <n v="1"/>
    <x v="13"/>
    <s v=""/>
    <n v="1"/>
    <x v="1"/>
  </r>
  <r>
    <n v="132490001"/>
    <n v="1204"/>
    <s v="Apprentice"/>
    <x v="6"/>
    <x v="0"/>
    <n v="4"/>
    <x v="22"/>
    <s v=""/>
    <n v="1"/>
    <x v="1"/>
  </r>
  <r>
    <n v="134770001"/>
    <n v="1204"/>
    <s v="Apprentice"/>
    <x v="6"/>
    <x v="0"/>
    <n v="4"/>
    <x v="22"/>
    <s v=""/>
    <n v="1"/>
    <x v="1"/>
  </r>
  <r>
    <n v="134770001"/>
    <n v="1204"/>
    <s v="Apprentice"/>
    <x v="6"/>
    <x v="1"/>
    <n v="4"/>
    <x v="22"/>
    <s v=""/>
    <n v="1"/>
    <x v="1"/>
  </r>
  <r>
    <n v="134770001"/>
    <n v="1204"/>
    <s v="Apprentice"/>
    <x v="6"/>
    <x v="2"/>
    <n v="1"/>
    <x v="22"/>
    <s v=""/>
    <n v="1"/>
    <x v="1"/>
  </r>
  <r>
    <n v="132170001"/>
    <n v="1209"/>
    <s v="Foreman"/>
    <x v="6"/>
    <x v="0"/>
    <n v="8"/>
    <x v="2"/>
    <s v=""/>
    <n v="1"/>
    <x v="1"/>
  </r>
  <r>
    <n v="132170001"/>
    <n v="1035"/>
    <s v="Carpenter"/>
    <x v="6"/>
    <x v="0"/>
    <n v="8"/>
    <x v="6"/>
    <s v=""/>
    <n v="1"/>
    <x v="1"/>
  </r>
  <r>
    <n v="132170001"/>
    <n v="1309"/>
    <s v="Apprentice"/>
    <x v="6"/>
    <x v="0"/>
    <n v="8"/>
    <x v="7"/>
    <s v=""/>
    <n v="1"/>
    <x v="1"/>
  </r>
  <r>
    <n v="132170001"/>
    <n v="996"/>
    <s v="Journeyman"/>
    <x v="6"/>
    <x v="0"/>
    <n v="8"/>
    <x v="5"/>
    <s v=""/>
    <n v="1"/>
    <x v="1"/>
  </r>
  <r>
    <n v="132270001"/>
    <n v="1025"/>
    <s v="Foreman"/>
    <x v="6"/>
    <x v="0"/>
    <n v="8"/>
    <x v="14"/>
    <s v=""/>
    <n v="1"/>
    <x v="1"/>
  </r>
  <r>
    <n v="132270001"/>
    <n v="1025"/>
    <s v="Foreman"/>
    <x v="6"/>
    <x v="1"/>
    <n v="4"/>
    <x v="14"/>
    <s v=""/>
    <n v="1"/>
    <x v="1"/>
  </r>
  <r>
    <n v="132270001"/>
    <n v="1027"/>
    <s v="Sr Foreman"/>
    <x v="6"/>
    <x v="0"/>
    <n v="8"/>
    <x v="15"/>
    <n v="2"/>
    <n v="1"/>
    <x v="1"/>
  </r>
  <r>
    <n v="132270001"/>
    <n v="1027"/>
    <s v="Sr Foreman"/>
    <x v="6"/>
    <x v="1"/>
    <n v="1"/>
    <x v="15"/>
    <n v="2"/>
    <n v="1"/>
    <x v="1"/>
  </r>
  <r>
    <n v="132270001"/>
    <n v="1121"/>
    <s v="Journeyman"/>
    <x v="6"/>
    <x v="0"/>
    <n v="8"/>
    <x v="16"/>
    <s v=""/>
    <n v="1"/>
    <x v="1"/>
  </r>
  <r>
    <n v="132270001"/>
    <n v="1121"/>
    <s v="Journeyman"/>
    <x v="6"/>
    <x v="1"/>
    <n v="1"/>
    <x v="16"/>
    <s v=""/>
    <n v="1"/>
    <x v="1"/>
  </r>
  <r>
    <n v="132270001"/>
    <n v="1360"/>
    <s v="Sr Journeyman"/>
    <x v="6"/>
    <x v="0"/>
    <n v="8"/>
    <x v="3"/>
    <n v="4"/>
    <n v="1"/>
    <x v="1"/>
  </r>
  <r>
    <n v="132270001"/>
    <n v="1360"/>
    <s v="Sr Journeyman"/>
    <x v="6"/>
    <x v="1"/>
    <n v="1"/>
    <x v="3"/>
    <n v="4"/>
    <n v="1"/>
    <x v="1"/>
  </r>
  <r>
    <n v="132270001"/>
    <n v="1120"/>
    <s v="Journeyman"/>
    <x v="6"/>
    <x v="0"/>
    <n v="8"/>
    <x v="17"/>
    <s v=""/>
    <n v="1"/>
    <x v="1"/>
  </r>
  <r>
    <n v="132270001"/>
    <n v="1120"/>
    <s v="Journeyman"/>
    <x v="6"/>
    <x v="1"/>
    <n v="1"/>
    <x v="17"/>
    <s v=""/>
    <n v="1"/>
    <x v="1"/>
  </r>
  <r>
    <n v="132270001"/>
    <n v="1354"/>
    <s v="Journeyman"/>
    <x v="6"/>
    <x v="0"/>
    <n v="8"/>
    <x v="18"/>
    <s v=""/>
    <n v="1"/>
    <x v="1"/>
  </r>
  <r>
    <n v="132270001"/>
    <n v="1354"/>
    <s v="Journeyman"/>
    <x v="6"/>
    <x v="1"/>
    <n v="1"/>
    <x v="18"/>
    <s v=""/>
    <n v="1"/>
    <x v="1"/>
  </r>
  <r>
    <n v="132270001"/>
    <n v="1212"/>
    <s v="Apprentice"/>
    <x v="6"/>
    <x v="0"/>
    <n v="8"/>
    <x v="19"/>
    <s v=""/>
    <n v="1"/>
    <x v="1"/>
  </r>
  <r>
    <n v="132270001"/>
    <n v="1212"/>
    <s v="Apprentice"/>
    <x v="6"/>
    <x v="1"/>
    <n v="1"/>
    <x v="19"/>
    <s v=""/>
    <n v="1"/>
    <x v="1"/>
  </r>
  <r>
    <n v="132170001"/>
    <n v="1122"/>
    <s v="Sr Foreman"/>
    <x v="7"/>
    <x v="0"/>
    <n v="8"/>
    <x v="1"/>
    <n v="2"/>
    <n v="2"/>
    <x v="1"/>
  </r>
  <r>
    <n v="132170001"/>
    <n v="1209"/>
    <s v="Foreman"/>
    <x v="7"/>
    <x v="0"/>
    <n v="8"/>
    <x v="2"/>
    <s v=""/>
    <n v="2"/>
    <x v="1"/>
  </r>
  <r>
    <n v="132170001"/>
    <n v="1035"/>
    <s v="Carpenter"/>
    <x v="7"/>
    <x v="0"/>
    <n v="8"/>
    <x v="6"/>
    <s v=""/>
    <n v="2"/>
    <x v="1"/>
  </r>
  <r>
    <n v="132170001"/>
    <n v="996"/>
    <s v="Journeyman"/>
    <x v="7"/>
    <x v="0"/>
    <n v="8"/>
    <x v="5"/>
    <s v=""/>
    <n v="2"/>
    <x v="1"/>
  </r>
  <r>
    <n v="132170001"/>
    <n v="1309"/>
    <s v="Apprentice"/>
    <x v="7"/>
    <x v="0"/>
    <n v="8"/>
    <x v="7"/>
    <s v=""/>
    <n v="2"/>
    <x v="1"/>
  </r>
  <r>
    <n v="134780001"/>
    <n v="1437"/>
    <s v="Journeyman"/>
    <x v="7"/>
    <x v="0"/>
    <n v="8"/>
    <x v="11"/>
    <s v=""/>
    <n v="2"/>
    <x v="1"/>
  </r>
  <r>
    <n v="134780001"/>
    <n v="1437"/>
    <s v="Journeyman"/>
    <x v="7"/>
    <x v="1"/>
    <n v="3.5"/>
    <x v="11"/>
    <s v=""/>
    <n v="2"/>
    <x v="1"/>
  </r>
  <r>
    <n v="134780001"/>
    <n v="1032"/>
    <s v="Journeyman"/>
    <x v="7"/>
    <x v="0"/>
    <n v="8"/>
    <x v="9"/>
    <s v=""/>
    <n v="2"/>
    <x v="1"/>
  </r>
  <r>
    <n v="134780001"/>
    <n v="1032"/>
    <s v="Journeyman"/>
    <x v="7"/>
    <x v="1"/>
    <n v="4"/>
    <x v="9"/>
    <s v=""/>
    <n v="2"/>
    <x v="1"/>
  </r>
  <r>
    <n v="106950001"/>
    <n v="1480"/>
    <s v="Journeyman"/>
    <x v="7"/>
    <x v="0"/>
    <n v="8"/>
    <x v="0"/>
    <s v=""/>
    <n v="2"/>
    <x v="1"/>
  </r>
  <r>
    <n v="106950001"/>
    <n v="1480"/>
    <s v="Journeyman"/>
    <x v="7"/>
    <x v="1"/>
    <n v="4"/>
    <x v="0"/>
    <s v=""/>
    <n v="2"/>
    <x v="1"/>
  </r>
  <r>
    <n v="132170001"/>
    <n v="1007"/>
    <s v="Foreman"/>
    <x v="7"/>
    <x v="0"/>
    <n v="8"/>
    <x v="8"/>
    <s v=""/>
    <n v="2"/>
    <x v="1"/>
  </r>
  <r>
    <n v="132170001"/>
    <n v="1007"/>
    <s v="Foreman"/>
    <x v="7"/>
    <x v="1"/>
    <n v="1.5"/>
    <x v="8"/>
    <s v=""/>
    <n v="2"/>
    <x v="1"/>
  </r>
  <r>
    <n v="132170001"/>
    <n v="1047"/>
    <s v="Journeyman"/>
    <x v="7"/>
    <x v="0"/>
    <n v="2"/>
    <x v="10"/>
    <s v=""/>
    <n v="2"/>
    <x v="1"/>
  </r>
  <r>
    <n v="132490001"/>
    <n v="1047"/>
    <s v="Journeyman"/>
    <x v="7"/>
    <x v="0"/>
    <n v="4"/>
    <x v="10"/>
    <s v=""/>
    <n v="2"/>
    <x v="1"/>
  </r>
  <r>
    <n v="133980001"/>
    <n v="1047"/>
    <s v="Journeyman"/>
    <x v="7"/>
    <x v="0"/>
    <n v="2"/>
    <x v="10"/>
    <s v=""/>
    <n v="2"/>
    <x v="1"/>
  </r>
  <r>
    <n v="132490001"/>
    <n v="1253"/>
    <s v="Journeyman"/>
    <x v="7"/>
    <x v="0"/>
    <n v="8"/>
    <x v="12"/>
    <s v=""/>
    <n v="2"/>
    <x v="1"/>
  </r>
  <r>
    <n v="132170001"/>
    <n v="1247"/>
    <s v="Apprentice"/>
    <x v="7"/>
    <x v="0"/>
    <n v="8"/>
    <x v="13"/>
    <s v=""/>
    <n v="2"/>
    <x v="1"/>
  </r>
  <r>
    <n v="132170001"/>
    <n v="1247"/>
    <s v="Apprentice"/>
    <x v="7"/>
    <x v="1"/>
    <n v="1.5"/>
    <x v="13"/>
    <s v=""/>
    <n v="2"/>
    <x v="1"/>
  </r>
  <r>
    <n v="132170001"/>
    <n v="1204"/>
    <s v="Apprentice"/>
    <x v="7"/>
    <x v="0"/>
    <n v="8"/>
    <x v="22"/>
    <s v=""/>
    <n v="2"/>
    <x v="1"/>
  </r>
  <r>
    <n v="132170001"/>
    <n v="1204"/>
    <s v="Apprentice"/>
    <x v="7"/>
    <x v="1"/>
    <n v="3.5"/>
    <x v="22"/>
    <s v=""/>
    <n v="2"/>
    <x v="1"/>
  </r>
  <r>
    <n v="132270001"/>
    <n v="1025"/>
    <s v="Foreman"/>
    <x v="7"/>
    <x v="0"/>
    <n v="8"/>
    <x v="14"/>
    <s v=""/>
    <n v="2"/>
    <x v="1"/>
  </r>
  <r>
    <n v="132270001"/>
    <n v="1025"/>
    <s v="Foreman"/>
    <x v="7"/>
    <x v="1"/>
    <n v="2"/>
    <x v="14"/>
    <s v=""/>
    <n v="2"/>
    <x v="1"/>
  </r>
  <r>
    <n v="132270001"/>
    <n v="1027"/>
    <s v="Sr Foreman"/>
    <x v="7"/>
    <x v="0"/>
    <n v="8"/>
    <x v="15"/>
    <n v="2"/>
    <n v="2"/>
    <x v="1"/>
  </r>
  <r>
    <n v="132270001"/>
    <n v="1027"/>
    <s v="Sr Foreman"/>
    <x v="7"/>
    <x v="1"/>
    <n v="1"/>
    <x v="15"/>
    <n v="2"/>
    <n v="2"/>
    <x v="1"/>
  </r>
  <r>
    <n v="132270001"/>
    <n v="1121"/>
    <s v="Journeyman"/>
    <x v="7"/>
    <x v="0"/>
    <n v="8"/>
    <x v="16"/>
    <s v=""/>
    <n v="2"/>
    <x v="1"/>
  </r>
  <r>
    <n v="132270001"/>
    <n v="1121"/>
    <s v="Journeyman"/>
    <x v="7"/>
    <x v="1"/>
    <n v="1"/>
    <x v="16"/>
    <s v=""/>
    <n v="2"/>
    <x v="1"/>
  </r>
  <r>
    <n v="132270001"/>
    <n v="1360"/>
    <s v="Sr Journeyman"/>
    <x v="7"/>
    <x v="0"/>
    <n v="8"/>
    <x v="3"/>
    <n v="4"/>
    <n v="2"/>
    <x v="1"/>
  </r>
  <r>
    <n v="132270001"/>
    <n v="1360"/>
    <s v="Sr Journeyman"/>
    <x v="7"/>
    <x v="1"/>
    <n v="1"/>
    <x v="3"/>
    <n v="4"/>
    <n v="2"/>
    <x v="1"/>
  </r>
  <r>
    <n v="132270001"/>
    <n v="1120"/>
    <s v="Journeyman"/>
    <x v="7"/>
    <x v="0"/>
    <n v="8"/>
    <x v="17"/>
    <s v=""/>
    <n v="2"/>
    <x v="1"/>
  </r>
  <r>
    <n v="132270001"/>
    <n v="1120"/>
    <s v="Journeyman"/>
    <x v="7"/>
    <x v="1"/>
    <n v="1.5"/>
    <x v="17"/>
    <s v=""/>
    <n v="2"/>
    <x v="1"/>
  </r>
  <r>
    <n v="132270001"/>
    <n v="1354"/>
    <s v="Journeyman"/>
    <x v="7"/>
    <x v="0"/>
    <n v="8"/>
    <x v="18"/>
    <s v=""/>
    <n v="2"/>
    <x v="1"/>
  </r>
  <r>
    <n v="132270001"/>
    <n v="1354"/>
    <s v="Journeyman"/>
    <x v="7"/>
    <x v="1"/>
    <n v="1"/>
    <x v="18"/>
    <s v=""/>
    <n v="2"/>
    <x v="1"/>
  </r>
  <r>
    <n v="132270001"/>
    <n v="1212"/>
    <s v="Apprentice"/>
    <x v="7"/>
    <x v="0"/>
    <n v="8"/>
    <x v="19"/>
    <s v=""/>
    <n v="2"/>
    <x v="1"/>
  </r>
  <r>
    <n v="132270001"/>
    <n v="1212"/>
    <s v="Apprentice"/>
    <x v="7"/>
    <x v="1"/>
    <n v="1"/>
    <x v="19"/>
    <s v=""/>
    <n v="2"/>
    <x v="1"/>
  </r>
  <r>
    <n v="106950001"/>
    <n v="1467"/>
    <s v="Journeyman"/>
    <x v="8"/>
    <x v="0"/>
    <n v="8"/>
    <x v="21"/>
    <s v=""/>
    <n v="3"/>
    <x v="1"/>
  </r>
  <r>
    <n v="106950001"/>
    <n v="1467"/>
    <s v="Journeyman"/>
    <x v="8"/>
    <x v="1"/>
    <n v="2"/>
    <x v="21"/>
    <s v=""/>
    <n v="3"/>
    <x v="1"/>
  </r>
  <r>
    <n v="106950001"/>
    <n v="1480"/>
    <s v="Journeyman"/>
    <x v="8"/>
    <x v="0"/>
    <n v="8"/>
    <x v="0"/>
    <s v=""/>
    <n v="3"/>
    <x v="1"/>
  </r>
  <r>
    <n v="106950001"/>
    <n v="1480"/>
    <s v="Journeyman"/>
    <x v="8"/>
    <x v="1"/>
    <n v="4"/>
    <x v="0"/>
    <s v=""/>
    <n v="3"/>
    <x v="1"/>
  </r>
  <r>
    <n v="132170001"/>
    <n v="1122"/>
    <s v="Sr Foreman"/>
    <x v="8"/>
    <x v="0"/>
    <n v="8"/>
    <x v="1"/>
    <n v="2"/>
    <n v="3"/>
    <x v="1"/>
  </r>
  <r>
    <n v="132170001"/>
    <n v="1209"/>
    <s v="Foreman"/>
    <x v="8"/>
    <x v="0"/>
    <n v="8"/>
    <x v="2"/>
    <s v=""/>
    <n v="3"/>
    <x v="1"/>
  </r>
  <r>
    <n v="132170001"/>
    <n v="1035"/>
    <s v="Carpenter"/>
    <x v="8"/>
    <x v="0"/>
    <n v="8"/>
    <x v="6"/>
    <s v=""/>
    <n v="3"/>
    <x v="1"/>
  </r>
  <r>
    <n v="132170001"/>
    <n v="996"/>
    <s v="Journeyman"/>
    <x v="8"/>
    <x v="0"/>
    <n v="8"/>
    <x v="5"/>
    <s v=""/>
    <n v="3"/>
    <x v="1"/>
  </r>
  <r>
    <n v="132170001"/>
    <n v="1309"/>
    <s v="Apprentice"/>
    <x v="8"/>
    <x v="0"/>
    <n v="8"/>
    <x v="7"/>
    <s v=""/>
    <n v="3"/>
    <x v="1"/>
  </r>
  <r>
    <n v="132270001"/>
    <n v="1025"/>
    <s v="Foreman"/>
    <x v="8"/>
    <x v="0"/>
    <n v="8"/>
    <x v="14"/>
    <s v=""/>
    <n v="3"/>
    <x v="1"/>
  </r>
  <r>
    <n v="132270001"/>
    <n v="1025"/>
    <s v="Foreman"/>
    <x v="8"/>
    <x v="1"/>
    <n v="1.5"/>
    <x v="14"/>
    <s v=""/>
    <n v="3"/>
    <x v="1"/>
  </r>
  <r>
    <n v="132270001"/>
    <n v="1027"/>
    <s v="Sr Foreman"/>
    <x v="8"/>
    <x v="0"/>
    <n v="8"/>
    <x v="15"/>
    <n v="2"/>
    <n v="3"/>
    <x v="1"/>
  </r>
  <r>
    <n v="132270001"/>
    <n v="1027"/>
    <s v="Sr Foreman"/>
    <x v="8"/>
    <x v="1"/>
    <n v="1"/>
    <x v="15"/>
    <n v="2"/>
    <n v="3"/>
    <x v="1"/>
  </r>
  <r>
    <n v="132270001"/>
    <n v="1121"/>
    <s v="Journeyman"/>
    <x v="8"/>
    <x v="0"/>
    <n v="8"/>
    <x v="16"/>
    <s v=""/>
    <n v="3"/>
    <x v="1"/>
  </r>
  <r>
    <n v="132270001"/>
    <n v="1121"/>
    <s v="Journeyman"/>
    <x v="8"/>
    <x v="1"/>
    <n v="0.5"/>
    <x v="16"/>
    <s v=""/>
    <n v="3"/>
    <x v="1"/>
  </r>
  <r>
    <n v="132270001"/>
    <n v="1360"/>
    <s v="Sr Journeyman"/>
    <x v="8"/>
    <x v="0"/>
    <n v="8"/>
    <x v="3"/>
    <n v="4"/>
    <n v="3"/>
    <x v="1"/>
  </r>
  <r>
    <n v="132270001"/>
    <n v="1360"/>
    <s v="Sr Journeyman"/>
    <x v="8"/>
    <x v="1"/>
    <n v="0.5"/>
    <x v="3"/>
    <n v="4"/>
    <n v="3"/>
    <x v="1"/>
  </r>
  <r>
    <n v="132270001"/>
    <n v="1120"/>
    <s v="Journeyman"/>
    <x v="8"/>
    <x v="0"/>
    <n v="8"/>
    <x v="17"/>
    <s v=""/>
    <n v="3"/>
    <x v="1"/>
  </r>
  <r>
    <n v="132270001"/>
    <n v="1120"/>
    <s v="Journeyman"/>
    <x v="8"/>
    <x v="1"/>
    <n v="1"/>
    <x v="17"/>
    <s v=""/>
    <n v="3"/>
    <x v="1"/>
  </r>
  <r>
    <n v="132270001"/>
    <n v="1354"/>
    <s v="Journeyman"/>
    <x v="8"/>
    <x v="0"/>
    <n v="8"/>
    <x v="18"/>
    <s v=""/>
    <n v="3"/>
    <x v="1"/>
  </r>
  <r>
    <n v="132270001"/>
    <n v="1354"/>
    <s v="Journeyman"/>
    <x v="8"/>
    <x v="1"/>
    <n v="0.5"/>
    <x v="18"/>
    <s v=""/>
    <n v="3"/>
    <x v="1"/>
  </r>
  <r>
    <n v="132270001"/>
    <n v="1212"/>
    <s v="Apprentice"/>
    <x v="8"/>
    <x v="0"/>
    <n v="8"/>
    <x v="19"/>
    <s v=""/>
    <n v="3"/>
    <x v="1"/>
  </r>
  <r>
    <n v="132270001"/>
    <n v="1212"/>
    <s v="Apprentice"/>
    <x v="8"/>
    <x v="1"/>
    <n v="0.5"/>
    <x v="19"/>
    <s v=""/>
    <n v="3"/>
    <x v="1"/>
  </r>
  <r>
    <n v="132270001"/>
    <n v="1204"/>
    <s v="Apprentice"/>
    <x v="8"/>
    <x v="0"/>
    <n v="8"/>
    <x v="22"/>
    <s v=""/>
    <n v="3"/>
    <x v="1"/>
  </r>
  <r>
    <n v="132270001"/>
    <n v="1204"/>
    <s v="Apprentice"/>
    <x v="8"/>
    <x v="1"/>
    <n v="0.5"/>
    <x v="22"/>
    <s v=""/>
    <n v="3"/>
    <x v="1"/>
  </r>
  <r>
    <n v="132490001"/>
    <n v="1007"/>
    <s v="Foreman"/>
    <x v="8"/>
    <x v="0"/>
    <n v="1"/>
    <x v="8"/>
    <s v=""/>
    <n v="3"/>
    <x v="1"/>
  </r>
  <r>
    <n v="132940001"/>
    <n v="1007"/>
    <s v="Foreman"/>
    <x v="8"/>
    <x v="0"/>
    <n v="2"/>
    <x v="8"/>
    <s v=""/>
    <n v="3"/>
    <x v="1"/>
  </r>
  <r>
    <n v="132170001"/>
    <n v="1007"/>
    <s v="Foreman"/>
    <x v="8"/>
    <x v="0"/>
    <n v="4"/>
    <x v="8"/>
    <s v=""/>
    <n v="3"/>
    <x v="1"/>
  </r>
  <r>
    <n v="201430001"/>
    <n v="1007"/>
    <s v="Foreman"/>
    <x v="8"/>
    <x v="0"/>
    <n v="1"/>
    <x v="8"/>
    <s v=""/>
    <n v="3"/>
    <x v="1"/>
  </r>
  <r>
    <n v="132490001"/>
    <n v="1047"/>
    <s v="Journeyman"/>
    <x v="8"/>
    <x v="0"/>
    <n v="6"/>
    <x v="10"/>
    <s v=""/>
    <n v="3"/>
    <x v="1"/>
  </r>
  <r>
    <n v="132940001"/>
    <n v="1047"/>
    <s v="Journeyman"/>
    <x v="8"/>
    <x v="0"/>
    <n v="2"/>
    <x v="10"/>
    <s v=""/>
    <n v="3"/>
    <x v="1"/>
  </r>
  <r>
    <n v="132490001"/>
    <n v="1032"/>
    <s v="Journeyman"/>
    <x v="8"/>
    <x v="0"/>
    <n v="4"/>
    <x v="9"/>
    <s v=""/>
    <n v="3"/>
    <x v="1"/>
  </r>
  <r>
    <n v="132170001"/>
    <n v="1032"/>
    <s v="Journeyman"/>
    <x v="8"/>
    <x v="0"/>
    <n v="4"/>
    <x v="9"/>
    <s v=""/>
    <n v="3"/>
    <x v="1"/>
  </r>
  <r>
    <n v="132170001"/>
    <n v="1253"/>
    <s v="Journeyman"/>
    <x v="8"/>
    <x v="0"/>
    <n v="8"/>
    <x v="12"/>
    <s v=""/>
    <n v="3"/>
    <x v="1"/>
  </r>
  <r>
    <n v="132170001"/>
    <n v="1437"/>
    <s v="Journeyman"/>
    <x v="8"/>
    <x v="0"/>
    <n v="8"/>
    <x v="11"/>
    <s v=""/>
    <n v="3"/>
    <x v="1"/>
  </r>
  <r>
    <n v="133980001"/>
    <n v="1082"/>
    <s v="Foreman"/>
    <x v="8"/>
    <x v="0"/>
    <n v="8"/>
    <x v="4"/>
    <s v=""/>
    <n v="3"/>
    <x v="1"/>
  </r>
  <r>
    <n v="130340001"/>
    <n v="1247"/>
    <s v="Apprentice"/>
    <x v="8"/>
    <x v="0"/>
    <n v="4"/>
    <x v="13"/>
    <s v=""/>
    <n v="3"/>
    <x v="1"/>
  </r>
  <r>
    <n v="201430001"/>
    <n v="1247"/>
    <s v="Apprentice"/>
    <x v="8"/>
    <x v="0"/>
    <n v="4"/>
    <x v="13"/>
    <s v=""/>
    <n v="3"/>
    <x v="1"/>
  </r>
  <r>
    <n v="132170001"/>
    <n v="1122"/>
    <s v="Sr Foreman"/>
    <x v="9"/>
    <x v="0"/>
    <n v="8"/>
    <x v="1"/>
    <n v="2"/>
    <n v="4"/>
    <x v="1"/>
  </r>
  <r>
    <n v="132170001"/>
    <n v="1209"/>
    <s v="Foreman"/>
    <x v="9"/>
    <x v="0"/>
    <n v="8"/>
    <x v="2"/>
    <s v=""/>
    <n v="4"/>
    <x v="1"/>
  </r>
  <r>
    <n v="132170001"/>
    <n v="1035"/>
    <s v="Carpenter"/>
    <x v="9"/>
    <x v="0"/>
    <n v="8"/>
    <x v="6"/>
    <s v=""/>
    <n v="4"/>
    <x v="1"/>
  </r>
  <r>
    <n v="132170001"/>
    <n v="996"/>
    <s v="Journeyman"/>
    <x v="9"/>
    <x v="0"/>
    <n v="8"/>
    <x v="5"/>
    <s v=""/>
    <n v="4"/>
    <x v="1"/>
  </r>
  <r>
    <n v="132170001"/>
    <n v="1309"/>
    <s v="Apprentice"/>
    <x v="9"/>
    <x v="0"/>
    <n v="8"/>
    <x v="7"/>
    <s v=""/>
    <n v="4"/>
    <x v="1"/>
  </r>
  <r>
    <n v="106950001"/>
    <n v="1480"/>
    <s v="Journeyman"/>
    <x v="9"/>
    <x v="0"/>
    <n v="8"/>
    <x v="0"/>
    <s v=""/>
    <n v="4"/>
    <x v="1"/>
  </r>
  <r>
    <n v="106950001"/>
    <n v="1480"/>
    <s v="Journeyman"/>
    <x v="9"/>
    <x v="1"/>
    <n v="4"/>
    <x v="0"/>
    <s v=""/>
    <n v="4"/>
    <x v="1"/>
  </r>
  <r>
    <n v="132940001"/>
    <n v="1007"/>
    <s v="Foreman"/>
    <x v="9"/>
    <x v="0"/>
    <n v="1"/>
    <x v="8"/>
    <s v=""/>
    <n v="4"/>
    <x v="1"/>
  </r>
  <r>
    <n v="133980001"/>
    <n v="1007"/>
    <s v="Foreman"/>
    <x v="9"/>
    <x v="0"/>
    <n v="2"/>
    <x v="8"/>
    <s v=""/>
    <n v="4"/>
    <x v="1"/>
  </r>
  <r>
    <n v="130340001"/>
    <n v="1007"/>
    <s v="Foreman"/>
    <x v="9"/>
    <x v="0"/>
    <n v="1"/>
    <x v="8"/>
    <s v=""/>
    <n v="4"/>
    <x v="1"/>
  </r>
  <r>
    <n v="132170001"/>
    <n v="1007"/>
    <s v="Foreman"/>
    <x v="9"/>
    <x v="0"/>
    <n v="4"/>
    <x v="8"/>
    <s v=""/>
    <n v="4"/>
    <x v="1"/>
  </r>
  <r>
    <n v="132940001"/>
    <n v="1047"/>
    <s v="Journeyman"/>
    <x v="9"/>
    <x v="0"/>
    <n v="2"/>
    <x v="10"/>
    <s v=""/>
    <n v="4"/>
    <x v="1"/>
  </r>
  <r>
    <n v="133980001"/>
    <n v="1047"/>
    <s v="Journeyman"/>
    <x v="9"/>
    <x v="0"/>
    <n v="6"/>
    <x v="10"/>
    <s v=""/>
    <n v="4"/>
    <x v="1"/>
  </r>
  <r>
    <n v="132940001"/>
    <n v="1032"/>
    <s v="Journeyman"/>
    <x v="9"/>
    <x v="0"/>
    <n v="8"/>
    <x v="9"/>
    <s v=""/>
    <n v="4"/>
    <x v="1"/>
  </r>
  <r>
    <n v="132170001"/>
    <n v="1253"/>
    <s v="Journeyman"/>
    <x v="9"/>
    <x v="0"/>
    <n v="8"/>
    <x v="12"/>
    <s v=""/>
    <n v="4"/>
    <x v="1"/>
  </r>
  <r>
    <n v="132170001"/>
    <n v="1437"/>
    <s v="Journeyman"/>
    <x v="9"/>
    <x v="0"/>
    <n v="8"/>
    <x v="11"/>
    <s v=""/>
    <n v="4"/>
    <x v="1"/>
  </r>
  <r>
    <n v="132270001"/>
    <n v="1437"/>
    <s v="Journeyman"/>
    <x v="9"/>
    <x v="1"/>
    <n v="2"/>
    <x v="11"/>
    <s v=""/>
    <n v="4"/>
    <x v="1"/>
  </r>
  <r>
    <n v="132170001"/>
    <n v="1082"/>
    <s v="Foreman"/>
    <x v="9"/>
    <x v="0"/>
    <n v="8"/>
    <x v="4"/>
    <s v=""/>
    <n v="4"/>
    <x v="1"/>
  </r>
  <r>
    <n v="130340001"/>
    <n v="1247"/>
    <s v="Apprentice"/>
    <x v="9"/>
    <x v="0"/>
    <n v="8"/>
    <x v="13"/>
    <s v=""/>
    <n v="4"/>
    <x v="1"/>
  </r>
  <r>
    <n v="132270001"/>
    <n v="1025"/>
    <s v="Foreman"/>
    <x v="9"/>
    <x v="0"/>
    <n v="8"/>
    <x v="14"/>
    <s v=""/>
    <n v="4"/>
    <x v="1"/>
  </r>
  <r>
    <n v="132270001"/>
    <n v="1025"/>
    <s v="Foreman"/>
    <x v="9"/>
    <x v="1"/>
    <n v="2"/>
    <x v="14"/>
    <s v=""/>
    <n v="4"/>
    <x v="1"/>
  </r>
  <r>
    <n v="132270001"/>
    <n v="1027"/>
    <s v="Sr Foreman"/>
    <x v="9"/>
    <x v="0"/>
    <n v="8"/>
    <x v="15"/>
    <n v="2"/>
    <n v="4"/>
    <x v="1"/>
  </r>
  <r>
    <n v="132270001"/>
    <n v="1027"/>
    <s v="Sr Foreman"/>
    <x v="9"/>
    <x v="1"/>
    <n v="1.5"/>
    <x v="15"/>
    <n v="2"/>
    <n v="4"/>
    <x v="1"/>
  </r>
  <r>
    <n v="132270001"/>
    <n v="1121"/>
    <s v="Journeyman"/>
    <x v="9"/>
    <x v="0"/>
    <n v="8"/>
    <x v="16"/>
    <s v=""/>
    <n v="4"/>
    <x v="1"/>
  </r>
  <r>
    <n v="132270001"/>
    <n v="1121"/>
    <s v="Journeyman"/>
    <x v="9"/>
    <x v="1"/>
    <n v="1"/>
    <x v="16"/>
    <s v=""/>
    <n v="4"/>
    <x v="1"/>
  </r>
  <r>
    <n v="132270001"/>
    <n v="1360"/>
    <s v="Sr Journeyman"/>
    <x v="9"/>
    <x v="0"/>
    <n v="8"/>
    <x v="3"/>
    <n v="4"/>
    <n v="4"/>
    <x v="1"/>
  </r>
  <r>
    <n v="132270001"/>
    <n v="1360"/>
    <s v="Sr Journeyman"/>
    <x v="9"/>
    <x v="1"/>
    <n v="1"/>
    <x v="3"/>
    <n v="4"/>
    <n v="4"/>
    <x v="1"/>
  </r>
  <r>
    <n v="132270001"/>
    <n v="1120"/>
    <s v="Journeyman"/>
    <x v="9"/>
    <x v="0"/>
    <n v="8"/>
    <x v="17"/>
    <s v=""/>
    <n v="4"/>
    <x v="1"/>
  </r>
  <r>
    <n v="132270001"/>
    <n v="1120"/>
    <s v="Journeyman"/>
    <x v="9"/>
    <x v="1"/>
    <n v="1.5"/>
    <x v="17"/>
    <s v=""/>
    <n v="4"/>
    <x v="1"/>
  </r>
  <r>
    <n v="132270001"/>
    <n v="1354"/>
    <s v="Journeyman"/>
    <x v="9"/>
    <x v="0"/>
    <n v="8"/>
    <x v="18"/>
    <s v=""/>
    <n v="4"/>
    <x v="1"/>
  </r>
  <r>
    <n v="132270001"/>
    <n v="1354"/>
    <s v="Journeyman"/>
    <x v="9"/>
    <x v="1"/>
    <n v="1"/>
    <x v="18"/>
    <s v=""/>
    <n v="4"/>
    <x v="1"/>
  </r>
  <r>
    <n v="132270001"/>
    <n v="1212"/>
    <s v="Apprentice"/>
    <x v="9"/>
    <x v="0"/>
    <n v="8"/>
    <x v="19"/>
    <s v=""/>
    <n v="4"/>
    <x v="1"/>
  </r>
  <r>
    <n v="132270001"/>
    <n v="1212"/>
    <s v="Apprentice"/>
    <x v="9"/>
    <x v="1"/>
    <n v="1"/>
    <x v="19"/>
    <s v=""/>
    <n v="4"/>
    <x v="1"/>
  </r>
  <r>
    <n v="132270001"/>
    <n v="1204"/>
    <s v="Apprentice"/>
    <x v="9"/>
    <x v="0"/>
    <n v="8"/>
    <x v="22"/>
    <s v=""/>
    <n v="4"/>
    <x v="1"/>
  </r>
  <r>
    <n v="132270001"/>
    <n v="1204"/>
    <s v="Apprentice"/>
    <x v="9"/>
    <x v="1"/>
    <n v="1"/>
    <x v="22"/>
    <s v=""/>
    <n v="4"/>
    <x v="1"/>
  </r>
  <r>
    <n v="132170001"/>
    <n v="1122"/>
    <s v="Sr Foreman"/>
    <x v="10"/>
    <x v="0"/>
    <n v="6"/>
    <x v="1"/>
    <n v="2"/>
    <n v="5"/>
    <x v="1"/>
  </r>
  <r>
    <n v="132170001"/>
    <n v="1070"/>
    <s v="Sr Journeyman"/>
    <x v="10"/>
    <x v="0"/>
    <n v="6"/>
    <x v="20"/>
    <n v="4"/>
    <n v="5"/>
    <x v="1"/>
  </r>
  <r>
    <n v="132170001"/>
    <n v="1209"/>
    <s v="Foreman"/>
    <x v="10"/>
    <x v="0"/>
    <n v="6"/>
    <x v="2"/>
    <s v=""/>
    <n v="5"/>
    <x v="1"/>
  </r>
  <r>
    <n v="132170001"/>
    <n v="1035"/>
    <s v="Carpenter"/>
    <x v="10"/>
    <x v="0"/>
    <n v="6"/>
    <x v="6"/>
    <s v=""/>
    <n v="5"/>
    <x v="1"/>
  </r>
  <r>
    <n v="132170001"/>
    <n v="1309"/>
    <s v="Apprentice"/>
    <x v="10"/>
    <x v="0"/>
    <n v="6"/>
    <x v="7"/>
    <s v=""/>
    <n v="5"/>
    <x v="1"/>
  </r>
  <r>
    <n v="132940001"/>
    <n v="1007"/>
    <s v="Foreman"/>
    <x v="10"/>
    <x v="0"/>
    <n v="2"/>
    <x v="8"/>
    <s v=""/>
    <n v="5"/>
    <x v="1"/>
  </r>
  <r>
    <n v="130340001"/>
    <n v="1007"/>
    <s v="Foreman"/>
    <x v="10"/>
    <x v="0"/>
    <n v="1"/>
    <x v="8"/>
    <s v=""/>
    <n v="5"/>
    <x v="1"/>
  </r>
  <r>
    <n v="133980001"/>
    <n v="1007"/>
    <s v="Foreman"/>
    <x v="10"/>
    <x v="0"/>
    <n v="1"/>
    <x v="8"/>
    <s v=""/>
    <n v="5"/>
    <x v="1"/>
  </r>
  <r>
    <n v="132170001"/>
    <n v="1007"/>
    <s v="Foreman"/>
    <x v="10"/>
    <x v="0"/>
    <n v="2"/>
    <x v="8"/>
    <s v=""/>
    <n v="5"/>
    <x v="1"/>
  </r>
  <r>
    <n v="135150001"/>
    <n v="1007"/>
    <s v="Foreman"/>
    <x v="10"/>
    <x v="0"/>
    <n v="2"/>
    <x v="8"/>
    <s v=""/>
    <n v="5"/>
    <x v="1"/>
  </r>
  <r>
    <n v="132940001"/>
    <n v="1047"/>
    <s v="Journeyman"/>
    <x v="10"/>
    <x v="0"/>
    <n v="8"/>
    <x v="10"/>
    <s v=""/>
    <n v="5"/>
    <x v="1"/>
  </r>
  <r>
    <n v="132940001"/>
    <n v="1032"/>
    <s v="Journeyman"/>
    <x v="10"/>
    <x v="0"/>
    <n v="8"/>
    <x v="9"/>
    <s v=""/>
    <n v="5"/>
    <x v="1"/>
  </r>
  <r>
    <n v="130340001"/>
    <n v="1247"/>
    <s v="Apprentice"/>
    <x v="10"/>
    <x v="0"/>
    <n v="8"/>
    <x v="13"/>
    <s v=""/>
    <n v="5"/>
    <x v="1"/>
  </r>
  <r>
    <n v="106950001"/>
    <n v="1480"/>
    <s v="Journeyman"/>
    <x v="10"/>
    <x v="0"/>
    <n v="8"/>
    <x v="0"/>
    <s v=""/>
    <n v="5"/>
    <x v="1"/>
  </r>
  <r>
    <n v="106950001"/>
    <n v="1480"/>
    <s v="Journeyman"/>
    <x v="10"/>
    <x v="1"/>
    <n v="4"/>
    <x v="0"/>
    <s v=""/>
    <n v="5"/>
    <x v="1"/>
  </r>
  <r>
    <n v="132270001"/>
    <n v="1025"/>
    <s v="Foreman"/>
    <x v="10"/>
    <x v="0"/>
    <n v="8"/>
    <x v="14"/>
    <s v=""/>
    <n v="5"/>
    <x v="1"/>
  </r>
  <r>
    <n v="132270001"/>
    <n v="1025"/>
    <s v="Foreman"/>
    <x v="10"/>
    <x v="1"/>
    <n v="0.5"/>
    <x v="14"/>
    <s v=""/>
    <n v="5"/>
    <x v="1"/>
  </r>
  <r>
    <n v="132270001"/>
    <n v="1027"/>
    <s v="Sr Foreman"/>
    <x v="10"/>
    <x v="0"/>
    <n v="8"/>
    <x v="15"/>
    <n v="2"/>
    <n v="5"/>
    <x v="1"/>
  </r>
  <r>
    <n v="132270001"/>
    <n v="1121"/>
    <s v="Journeyman"/>
    <x v="10"/>
    <x v="0"/>
    <n v="8"/>
    <x v="16"/>
    <s v=""/>
    <n v="5"/>
    <x v="1"/>
  </r>
  <r>
    <n v="132270001"/>
    <n v="1360"/>
    <s v="Sr Journeyman"/>
    <x v="10"/>
    <x v="0"/>
    <n v="8"/>
    <x v="3"/>
    <n v="4"/>
    <n v="5"/>
    <x v="1"/>
  </r>
  <r>
    <n v="132270001"/>
    <n v="1120"/>
    <s v="Journeyman"/>
    <x v="10"/>
    <x v="0"/>
    <n v="8"/>
    <x v="17"/>
    <s v=""/>
    <n v="5"/>
    <x v="1"/>
  </r>
  <r>
    <n v="132270001"/>
    <n v="1354"/>
    <s v="Journeyman"/>
    <x v="10"/>
    <x v="0"/>
    <n v="8"/>
    <x v="18"/>
    <s v=""/>
    <n v="5"/>
    <x v="1"/>
  </r>
  <r>
    <n v="132270001"/>
    <n v="1212"/>
    <s v="Apprentice"/>
    <x v="10"/>
    <x v="0"/>
    <n v="8"/>
    <x v="19"/>
    <s v=""/>
    <n v="5"/>
    <x v="1"/>
  </r>
  <r>
    <n v="132270001"/>
    <n v="1204"/>
    <s v="Apprentice"/>
    <x v="10"/>
    <x v="0"/>
    <n v="8"/>
    <x v="22"/>
    <s v=""/>
    <n v="5"/>
    <x v="1"/>
  </r>
  <r>
    <n v="106950001"/>
    <n v="1480"/>
    <s v="Journeyman"/>
    <x v="11"/>
    <x v="1"/>
    <n v="12"/>
    <x v="0"/>
    <s v=""/>
    <n v="6"/>
    <x v="1"/>
  </r>
  <r>
    <n v="106950001"/>
    <n v="1467"/>
    <s v="Journeyman"/>
    <x v="11"/>
    <x v="1"/>
    <n v="6"/>
    <x v="21"/>
    <s v=""/>
    <n v="6"/>
    <x v="1"/>
  </r>
  <r>
    <n v="106950001"/>
    <n v="1480"/>
    <s v="Journeyman"/>
    <x v="12"/>
    <x v="2"/>
    <n v="14.5"/>
    <x v="0"/>
    <s v=""/>
    <n v="7"/>
    <x v="1"/>
  </r>
  <r>
    <n v="106950001"/>
    <n v="1467"/>
    <s v="Journeyman"/>
    <x v="12"/>
    <x v="2"/>
    <n v="14.5"/>
    <x v="21"/>
    <s v=""/>
    <n v="7"/>
    <x v="1"/>
  </r>
  <r>
    <m/>
    <m/>
    <m/>
    <x v="13"/>
    <x v="3"/>
    <m/>
    <x v="23"/>
    <m/>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SummaryTable" cacheId="0" applyNumberFormats="0" applyBorderFormats="0" applyFontFormats="0" applyPatternFormats="0" applyAlignmentFormats="0" applyWidthHeightFormats="1" dataCaption="Values" grandTotalCaption="Total" missingCaption="--" updatedVersion="6" minRefreshableVersion="3" showDrill="0" showDataTips="0" pageOverThenDown="1" createdVersion="6" indent="0" showHeaders="0" outline="1" outlineData="1" multipleFieldFilters="0" rowHeaderCaption="" colHeaderCaption="" fieldListSortAscending="1" customListSort="0">
  <location ref="G3:O71" firstHeaderRow="1" firstDataRow="2" firstDataCol="1"/>
  <pivotFields count="10">
    <pivotField subtotalTop="0" showAll="0" defaultSubtotal="0"/>
    <pivotField subtotalTop="0" showAll="0" defaultSubtotal="0"/>
    <pivotField subtotalTop="0" showAll="0" defaultSubtotal="0"/>
    <pivotField axis="axisCol" subtotalTop="0" showAll="0" defaultSubtotal="0">
      <items count="15">
        <item x="0"/>
        <item x="1"/>
        <item x="2"/>
        <item x="3"/>
        <item x="4"/>
        <item x="5"/>
        <item x="6"/>
        <item x="7"/>
        <item x="8"/>
        <item x="9"/>
        <item x="10"/>
        <item x="11"/>
        <item x="12"/>
        <item x="13"/>
        <item m="1" x="14"/>
      </items>
    </pivotField>
    <pivotField axis="axisRow" subtotalTop="0" showAll="0" measureFilter="1" sortType="descending" defaultSubtotal="0">
      <items count="4">
        <item x="3"/>
        <item x="0"/>
        <item x="1"/>
        <item x="2"/>
      </items>
    </pivotField>
    <pivotField dataField="1" subtotalTop="0" showAll="0" defaultSubtotal="0"/>
    <pivotField axis="axisRow" subtotalTop="0" showAll="0" defaultSubtotal="0">
      <items count="49">
        <item m="1" x="29"/>
        <item m="1" x="38"/>
        <item m="1" x="41"/>
        <item m="1" x="45"/>
        <item m="1" x="48"/>
        <item m="1" x="25"/>
        <item m="1" x="28"/>
        <item m="1" x="35"/>
        <item m="1" x="39"/>
        <item m="1" x="31"/>
        <item m="1" x="40"/>
        <item m="1" x="43"/>
        <item m="1" x="47"/>
        <item m="1" x="24"/>
        <item m="1" x="27"/>
        <item m="1" x="30"/>
        <item m="1" x="33"/>
        <item m="1" x="32"/>
        <item m="1" x="34"/>
        <item m="1" x="36"/>
        <item m="1" x="37"/>
        <item m="1" x="42"/>
        <item m="1" x="46"/>
        <item x="23"/>
        <item x="0"/>
        <item x="1"/>
        <item x="2"/>
        <item x="3"/>
        <item x="4"/>
        <item x="5"/>
        <item x="6"/>
        <item x="7"/>
        <item x="8"/>
        <item x="9"/>
        <item x="10"/>
        <item x="11"/>
        <item x="12"/>
        <item x="13"/>
        <item x="14"/>
        <item x="15"/>
        <item x="16"/>
        <item x="17"/>
        <item x="18"/>
        <item x="19"/>
        <item x="20"/>
        <item x="21"/>
        <item x="22"/>
        <item m="1" x="44"/>
        <item m="1" x="26"/>
      </items>
    </pivotField>
    <pivotField subtotalTop="0" showAll="0" defaultSubtotal="0"/>
    <pivotField subtotalTop="0" showAll="0" defaultSubtotal="0"/>
    <pivotField subtotalTop="0" showAll="0" defaultSubtotal="0">
      <items count="5">
        <item h="1" m="1" x="4"/>
        <item h="1" x="0"/>
        <item x="1"/>
        <item h="1" m="1" x="3"/>
        <item h="1" x="2"/>
      </items>
    </pivotField>
  </pivotFields>
  <rowFields count="2">
    <field x="6"/>
    <field x="4"/>
  </rowFields>
  <rowItems count="67">
    <i>
      <x v="24"/>
    </i>
    <i r="1">
      <x v="1"/>
    </i>
    <i r="1">
      <x v="2"/>
    </i>
    <i r="1">
      <x v="3"/>
    </i>
    <i>
      <x v="25"/>
    </i>
    <i r="1">
      <x v="1"/>
    </i>
    <i r="1">
      <x v="2"/>
    </i>
    <i>
      <x v="26"/>
    </i>
    <i r="1">
      <x v="1"/>
    </i>
    <i>
      <x v="27"/>
    </i>
    <i r="1">
      <x v="1"/>
    </i>
    <i r="1">
      <x v="2"/>
    </i>
    <i>
      <x v="28"/>
    </i>
    <i r="1">
      <x v="1"/>
    </i>
    <i>
      <x v="29"/>
    </i>
    <i r="1">
      <x v="1"/>
    </i>
    <i>
      <x v="30"/>
    </i>
    <i r="1">
      <x v="1"/>
    </i>
    <i>
      <x v="31"/>
    </i>
    <i r="1">
      <x v="1"/>
    </i>
    <i>
      <x v="32"/>
    </i>
    <i r="1">
      <x v="1"/>
    </i>
    <i r="1">
      <x v="2"/>
    </i>
    <i r="1">
      <x v="3"/>
    </i>
    <i>
      <x v="33"/>
    </i>
    <i r="1">
      <x v="1"/>
    </i>
    <i r="1">
      <x v="2"/>
    </i>
    <i>
      <x v="34"/>
    </i>
    <i r="1">
      <x v="1"/>
    </i>
    <i>
      <x v="35"/>
    </i>
    <i r="1">
      <x v="1"/>
    </i>
    <i r="1">
      <x v="2"/>
    </i>
    <i>
      <x v="36"/>
    </i>
    <i r="1">
      <x v="1"/>
    </i>
    <i>
      <x v="37"/>
    </i>
    <i r="1">
      <x v="1"/>
    </i>
    <i r="1">
      <x v="2"/>
    </i>
    <i r="1">
      <x v="3"/>
    </i>
    <i>
      <x v="38"/>
    </i>
    <i r="1">
      <x v="1"/>
    </i>
    <i r="1">
      <x v="2"/>
    </i>
    <i>
      <x v="39"/>
    </i>
    <i r="1">
      <x v="1"/>
    </i>
    <i r="1">
      <x v="2"/>
    </i>
    <i>
      <x v="40"/>
    </i>
    <i r="1">
      <x v="1"/>
    </i>
    <i r="1">
      <x v="2"/>
    </i>
    <i>
      <x v="41"/>
    </i>
    <i r="1">
      <x v="1"/>
    </i>
    <i r="1">
      <x v="2"/>
    </i>
    <i>
      <x v="42"/>
    </i>
    <i r="1">
      <x v="1"/>
    </i>
    <i r="1">
      <x v="2"/>
    </i>
    <i>
      <x v="43"/>
    </i>
    <i r="1">
      <x v="1"/>
    </i>
    <i r="1">
      <x v="2"/>
    </i>
    <i>
      <x v="44"/>
    </i>
    <i r="1">
      <x v="1"/>
    </i>
    <i>
      <x v="45"/>
    </i>
    <i r="1">
      <x v="1"/>
    </i>
    <i r="1">
      <x v="2"/>
    </i>
    <i r="1">
      <x v="3"/>
    </i>
    <i>
      <x v="46"/>
    </i>
    <i r="1">
      <x v="1"/>
    </i>
    <i r="1">
      <x v="2"/>
    </i>
    <i r="1">
      <x v="3"/>
    </i>
    <i t="grand">
      <x/>
    </i>
  </rowItems>
  <colFields count="1">
    <field x="3"/>
  </colFields>
  <colItems count="8">
    <i>
      <x v="6"/>
    </i>
    <i>
      <x v="7"/>
    </i>
    <i>
      <x v="8"/>
    </i>
    <i>
      <x v="9"/>
    </i>
    <i>
      <x v="10"/>
    </i>
    <i>
      <x v="11"/>
    </i>
    <i>
      <x v="12"/>
    </i>
    <i t="grand">
      <x/>
    </i>
  </colItems>
  <dataFields count="1">
    <dataField name="Time Tracker" fld="5" baseField="0" baseItem="0"/>
  </dataFields>
  <formats count="12">
    <format dxfId="11">
      <pivotArea dataOnly="0" outline="0" fieldPosition="0">
        <references count="1">
          <reference field="3" count="7">
            <x v="6"/>
            <x v="7"/>
            <x v="8"/>
            <x v="9"/>
            <x v="10"/>
            <x v="11"/>
            <x v="12"/>
          </reference>
        </references>
      </pivotArea>
    </format>
    <format dxfId="10">
      <pivotArea dataOnly="0" grandCol="1" outline="0" fieldPosition="0"/>
    </format>
    <format dxfId="9">
      <pivotArea dataOnly="0" grandCol="1" outline="0" fieldPosition="0"/>
    </format>
    <format dxfId="8">
      <pivotArea dataOnly="0" grandCol="1" outline="0" fieldPosition="0"/>
    </format>
    <format dxfId="7">
      <pivotArea dataOnly="0" grandCol="1" outline="0" fieldPosition="0"/>
    </format>
    <format dxfId="6">
      <pivotArea dataOnly="0" grandCol="1" outline="0" fieldPosition="0"/>
    </format>
    <format dxfId="5">
      <pivotArea dataOnly="0" grandCol="1" outline="0" fieldPosition="0"/>
    </format>
    <format dxfId="4">
      <pivotArea dataOnly="0" grandCol="1" outline="0" fieldPosition="0"/>
    </format>
    <format dxfId="3">
      <pivotArea outline="0" collapsedLevelsAreSubtotals="1" fieldPosition="0"/>
    </format>
    <format dxfId="2">
      <pivotArea type="topRight" dataOnly="0" labelOnly="1" outline="0" fieldPosition="0"/>
    </format>
    <format dxfId="1">
      <pivotArea dataOnly="0" labelOnly="1" fieldPosition="0">
        <references count="1">
          <reference field="3" count="7">
            <x v="6"/>
            <x v="7"/>
            <x v="8"/>
            <x v="9"/>
            <x v="10"/>
            <x v="11"/>
            <x v="12"/>
          </reference>
        </references>
      </pivotArea>
    </format>
    <format dxfId="0">
      <pivotArea dataOnly="0" labelOnly="1" grandCol="1" outline="0" fieldPosition="0"/>
    </format>
  </formats>
  <pivotTableStyleInfo name="PivotStyleMedium13" showRowHeaders="1" showColHeaders="1" showRowStripes="0" showColStripes="0" showLastColumn="1"/>
  <filters count="1">
    <filter fld="4" type="valueGreaterThanOrEqual" evalOrder="-1" id="1" iMeasureFld="0">
      <autoFilter ref="A1">
        <filterColumn colId="0">
          <customFilters>
            <customFilter operator="greaterThanOrEqual" val="1"/>
          </customFilters>
        </filterColumn>
      </autoFilter>
    </filter>
  </filters>
  <extLs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Week_of" sourceName="Week of">
  <pivotTables>
    <pivotTable tabId="4" name="SummaryTable"/>
  </pivotTables>
  <data>
    <tabular pivotCacheId="9">
      <items count="5">
        <i x="0"/>
        <i x="1" s="1"/>
        <i x="4" nd="1"/>
        <i x="3" nd="1"/>
        <i x="2"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Week of" cache="Slicer_Week_of" caption="Week of"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omments" Target="../comments1.xml"/><Relationship Id="rId5" Type="http://schemas.microsoft.com/office/2007/relationships/slicer" Target="../slicers/slicer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111"/>
  <sheetViews>
    <sheetView tabSelected="1" zoomScale="115" zoomScaleNormal="115" workbookViewId="0">
      <pane ySplit="2" topLeftCell="A3" activePane="bottomLeft" state="frozen"/>
      <selection pane="bottomLeft" activeCell="Q7" sqref="Q7"/>
    </sheetView>
  </sheetViews>
  <sheetFormatPr defaultRowHeight="15" x14ac:dyDescent="0.25"/>
  <cols>
    <col min="1" max="1" width="13" customWidth="1"/>
    <col min="2" max="2" width="21.85546875" bestFit="1" customWidth="1"/>
    <col min="3" max="3" width="7.28515625" customWidth="1"/>
    <col min="4" max="4" width="11.85546875" bestFit="1" customWidth="1"/>
    <col min="5" max="5" width="8.85546875" style="12" bestFit="1" customWidth="1"/>
    <col min="6" max="6" width="11.5703125" style="18" hidden="1" customWidth="1"/>
    <col min="7" max="7" width="12.85546875" bestFit="1" customWidth="1"/>
    <col min="8" max="14" width="10.7109375" style="50" bestFit="1" customWidth="1"/>
    <col min="15" max="15" width="5.42578125" style="50" bestFit="1" customWidth="1"/>
    <col min="16" max="20" width="9.7109375" style="50" bestFit="1" customWidth="1"/>
    <col min="21" max="21" width="7.28515625" bestFit="1" customWidth="1"/>
    <col min="22" max="22" width="11.28515625" bestFit="1" customWidth="1"/>
  </cols>
  <sheetData>
    <row r="1" spans="1:15" x14ac:dyDescent="0.25">
      <c r="A1" s="63"/>
      <c r="B1" s="63"/>
      <c r="C1" s="63"/>
      <c r="D1" s="63"/>
      <c r="E1" s="63"/>
    </row>
    <row r="2" spans="1:15" x14ac:dyDescent="0.25">
      <c r="A2" s="63"/>
      <c r="B2" s="63"/>
      <c r="C2" s="63"/>
      <c r="D2" s="63"/>
      <c r="E2" s="63"/>
    </row>
    <row r="3" spans="1:15" x14ac:dyDescent="0.25">
      <c r="A3" s="63"/>
      <c r="B3" s="63"/>
      <c r="C3" s="63"/>
      <c r="D3" s="63"/>
      <c r="E3" s="63"/>
      <c r="G3" s="3" t="s">
        <v>26</v>
      </c>
      <c r="H3"/>
      <c r="I3" s="59"/>
      <c r="J3" s="59"/>
      <c r="K3" s="59"/>
      <c r="L3" s="59"/>
      <c r="M3" s="59"/>
      <c r="N3" s="59"/>
      <c r="O3" s="59"/>
    </row>
    <row r="4" spans="1:15" ht="16.5" customHeight="1" x14ac:dyDescent="0.25">
      <c r="A4" s="63"/>
      <c r="B4" s="63"/>
      <c r="C4" s="63"/>
      <c r="D4" s="63"/>
      <c r="E4" s="63"/>
      <c r="H4" s="57">
        <v>43143</v>
      </c>
      <c r="I4" s="57">
        <v>43144</v>
      </c>
      <c r="J4" s="57">
        <v>43145</v>
      </c>
      <c r="K4" s="57">
        <v>43146</v>
      </c>
      <c r="L4" s="57">
        <v>43147</v>
      </c>
      <c r="M4" s="57">
        <v>43148</v>
      </c>
      <c r="N4" s="57">
        <v>43149</v>
      </c>
      <c r="O4" s="59" t="s">
        <v>25</v>
      </c>
    </row>
    <row r="5" spans="1:15" x14ac:dyDescent="0.25">
      <c r="A5" s="63"/>
      <c r="B5" s="63"/>
      <c r="C5" s="63"/>
      <c r="D5" s="63"/>
      <c r="E5" s="63"/>
      <c r="G5" s="51" t="s">
        <v>53</v>
      </c>
      <c r="H5" s="53"/>
      <c r="I5" s="53"/>
      <c r="J5" s="53"/>
      <c r="K5" s="53"/>
      <c r="L5" s="53"/>
      <c r="M5" s="53"/>
      <c r="N5" s="53"/>
      <c r="O5" s="53"/>
    </row>
    <row r="6" spans="1:15" x14ac:dyDescent="0.25">
      <c r="A6" s="63"/>
      <c r="B6" s="63"/>
      <c r="C6" s="63"/>
      <c r="D6" s="63"/>
      <c r="E6" s="63"/>
      <c r="G6" s="52" t="s">
        <v>9</v>
      </c>
      <c r="H6" s="53">
        <v>8</v>
      </c>
      <c r="I6" s="53">
        <v>8</v>
      </c>
      <c r="J6" s="53">
        <v>8</v>
      </c>
      <c r="K6" s="53">
        <v>8</v>
      </c>
      <c r="L6" s="53">
        <v>8</v>
      </c>
      <c r="M6" s="53" t="s">
        <v>12</v>
      </c>
      <c r="N6" s="53" t="s">
        <v>12</v>
      </c>
      <c r="O6" s="53">
        <v>40</v>
      </c>
    </row>
    <row r="7" spans="1:15" x14ac:dyDescent="0.25">
      <c r="A7" s="63"/>
      <c r="B7" s="63"/>
      <c r="C7" s="63"/>
      <c r="D7" s="63"/>
      <c r="E7" s="63"/>
      <c r="G7" s="52" t="s">
        <v>10</v>
      </c>
      <c r="H7" s="53">
        <v>4</v>
      </c>
      <c r="I7" s="53">
        <v>4</v>
      </c>
      <c r="J7" s="53">
        <v>4</v>
      </c>
      <c r="K7" s="53">
        <v>4</v>
      </c>
      <c r="L7" s="53">
        <v>4</v>
      </c>
      <c r="M7" s="53">
        <v>12</v>
      </c>
      <c r="N7" s="53" t="s">
        <v>12</v>
      </c>
      <c r="O7" s="53">
        <v>32</v>
      </c>
    </row>
    <row r="8" spans="1:15" x14ac:dyDescent="0.25">
      <c r="A8" s="63"/>
      <c r="B8" s="63"/>
      <c r="C8" s="63"/>
      <c r="D8" s="63"/>
      <c r="E8" s="63"/>
      <c r="G8" s="52" t="s">
        <v>7</v>
      </c>
      <c r="H8" s="53" t="s">
        <v>12</v>
      </c>
      <c r="I8" s="53" t="s">
        <v>12</v>
      </c>
      <c r="J8" s="53" t="s">
        <v>12</v>
      </c>
      <c r="K8" s="53" t="s">
        <v>12</v>
      </c>
      <c r="L8" s="53" t="s">
        <v>12</v>
      </c>
      <c r="M8" s="53" t="s">
        <v>12</v>
      </c>
      <c r="N8" s="53">
        <v>14.5</v>
      </c>
      <c r="O8" s="53">
        <v>14.5</v>
      </c>
    </row>
    <row r="9" spans="1:15" x14ac:dyDescent="0.25">
      <c r="A9" s="64"/>
      <c r="B9" s="64"/>
      <c r="C9" s="64"/>
      <c r="D9" s="64"/>
      <c r="E9" s="64"/>
      <c r="F9" s="20"/>
      <c r="G9" s="51" t="s">
        <v>54</v>
      </c>
      <c r="H9" s="53"/>
      <c r="I9" s="53"/>
      <c r="J9" s="53"/>
      <c r="K9" s="53"/>
      <c r="L9" s="53"/>
      <c r="M9" s="53"/>
      <c r="N9" s="53"/>
      <c r="O9" s="53"/>
    </row>
    <row r="10" spans="1:15" x14ac:dyDescent="0.25">
      <c r="A10" s="10"/>
      <c r="B10" s="60" t="s">
        <v>4</v>
      </c>
      <c r="C10" s="61"/>
      <c r="D10" s="61"/>
      <c r="E10" s="62"/>
      <c r="F10" s="21"/>
      <c r="G10" s="52" t="s">
        <v>9</v>
      </c>
      <c r="H10" s="53">
        <v>8</v>
      </c>
      <c r="I10" s="53">
        <v>8</v>
      </c>
      <c r="J10" s="53">
        <v>8</v>
      </c>
      <c r="K10" s="53">
        <v>8</v>
      </c>
      <c r="L10" s="53">
        <v>6</v>
      </c>
      <c r="M10" s="53" t="s">
        <v>12</v>
      </c>
      <c r="N10" s="53" t="s">
        <v>12</v>
      </c>
      <c r="O10" s="53">
        <v>38</v>
      </c>
    </row>
    <row r="11" spans="1:15" x14ac:dyDescent="0.25">
      <c r="A11" s="7" t="s">
        <v>6</v>
      </c>
      <c r="B11" s="7" t="s">
        <v>3</v>
      </c>
      <c r="C11" s="7" t="s">
        <v>5</v>
      </c>
      <c r="D11" s="7" t="s">
        <v>15</v>
      </c>
      <c r="E11" s="7" t="s">
        <v>18</v>
      </c>
      <c r="F11" s="7" t="s">
        <v>11</v>
      </c>
      <c r="G11" s="52" t="s">
        <v>10</v>
      </c>
      <c r="H11" s="53">
        <v>4</v>
      </c>
      <c r="I11" s="53" t="s">
        <v>12</v>
      </c>
      <c r="J11" s="53" t="s">
        <v>12</v>
      </c>
      <c r="K11" s="53" t="s">
        <v>12</v>
      </c>
      <c r="L11" s="53" t="s">
        <v>12</v>
      </c>
      <c r="M11" s="53" t="s">
        <v>12</v>
      </c>
      <c r="N11" s="53" t="s">
        <v>12</v>
      </c>
      <c r="O11" s="53">
        <v>4</v>
      </c>
    </row>
    <row r="12" spans="1:15" x14ac:dyDescent="0.25">
      <c r="A12" s="17" t="str">
        <f>+MID(B12,FIND(" ",B12)+1, 256)</f>
        <v>Employee1</v>
      </c>
      <c r="B12" s="5" t="s">
        <v>27</v>
      </c>
      <c r="C12" s="8">
        <v>1007</v>
      </c>
      <c r="D12" s="13" t="s">
        <v>19</v>
      </c>
      <c r="E12" s="15"/>
      <c r="F12" s="15"/>
      <c r="G12" s="51" t="s">
        <v>55</v>
      </c>
      <c r="H12" s="53"/>
      <c r="I12" s="53"/>
      <c r="J12" s="53"/>
      <c r="K12" s="53"/>
      <c r="L12" s="53"/>
      <c r="M12" s="53"/>
      <c r="N12" s="53"/>
      <c r="O12" s="53"/>
    </row>
    <row r="13" spans="1:15" x14ac:dyDescent="0.25">
      <c r="A13" s="17" t="str">
        <f t="shared" ref="A13:A37" si="0">+MID(B13,FIND(" ",B13)+1, 256)</f>
        <v>Employee2</v>
      </c>
      <c r="B13" s="5" t="s">
        <v>28</v>
      </c>
      <c r="C13" s="8">
        <v>996</v>
      </c>
      <c r="D13" s="13" t="s">
        <v>21</v>
      </c>
      <c r="E13" s="8"/>
      <c r="F13" s="8" t="s">
        <v>9</v>
      </c>
      <c r="G13" s="52" t="s">
        <v>9</v>
      </c>
      <c r="H13" s="53">
        <v>8</v>
      </c>
      <c r="I13" s="53">
        <v>8</v>
      </c>
      <c r="J13" s="53">
        <v>8</v>
      </c>
      <c r="K13" s="53">
        <v>8</v>
      </c>
      <c r="L13" s="53">
        <v>6</v>
      </c>
      <c r="M13" s="53" t="s">
        <v>12</v>
      </c>
      <c r="N13" s="53" t="s">
        <v>12</v>
      </c>
      <c r="O13" s="53">
        <v>38</v>
      </c>
    </row>
    <row r="14" spans="1:15" x14ac:dyDescent="0.25">
      <c r="A14" s="17" t="str">
        <f t="shared" si="0"/>
        <v>Employee3</v>
      </c>
      <c r="B14" s="5" t="s">
        <v>29</v>
      </c>
      <c r="C14" s="8">
        <v>1247</v>
      </c>
      <c r="D14" s="13" t="s">
        <v>20</v>
      </c>
      <c r="E14" s="8"/>
      <c r="F14" s="8" t="s">
        <v>10</v>
      </c>
      <c r="G14" s="51" t="s">
        <v>56</v>
      </c>
      <c r="H14" s="53"/>
      <c r="I14" s="53"/>
      <c r="J14" s="53"/>
      <c r="K14" s="53"/>
      <c r="L14" s="53"/>
      <c r="M14" s="53"/>
      <c r="N14" s="53"/>
      <c r="O14" s="53"/>
    </row>
    <row r="15" spans="1:15" x14ac:dyDescent="0.25">
      <c r="A15" s="17" t="str">
        <f t="shared" si="0"/>
        <v>Employee4</v>
      </c>
      <c r="B15" s="5" t="s">
        <v>30</v>
      </c>
      <c r="C15" s="8">
        <v>1204</v>
      </c>
      <c r="D15" s="13" t="s">
        <v>20</v>
      </c>
      <c r="E15" s="8"/>
      <c r="F15" s="8" t="s">
        <v>7</v>
      </c>
      <c r="G15" s="52" t="s">
        <v>9</v>
      </c>
      <c r="H15" s="53">
        <v>8</v>
      </c>
      <c r="I15" s="53">
        <v>8</v>
      </c>
      <c r="J15" s="53">
        <v>8</v>
      </c>
      <c r="K15" s="53">
        <v>8</v>
      </c>
      <c r="L15" s="53">
        <v>8</v>
      </c>
      <c r="M15" s="53" t="s">
        <v>12</v>
      </c>
      <c r="N15" s="53" t="s">
        <v>12</v>
      </c>
      <c r="O15" s="53">
        <v>40</v>
      </c>
    </row>
    <row r="16" spans="1:15" x14ac:dyDescent="0.25">
      <c r="A16" s="17" t="str">
        <f t="shared" si="0"/>
        <v>Employee5</v>
      </c>
      <c r="B16" s="5" t="s">
        <v>31</v>
      </c>
      <c r="C16" s="8">
        <v>1120</v>
      </c>
      <c r="D16" s="13" t="s">
        <v>21</v>
      </c>
      <c r="E16" s="8"/>
      <c r="F16" s="8"/>
      <c r="G16" s="52" t="s">
        <v>10</v>
      </c>
      <c r="H16" s="53">
        <v>1</v>
      </c>
      <c r="I16" s="53">
        <v>1</v>
      </c>
      <c r="J16" s="53">
        <v>0.5</v>
      </c>
      <c r="K16" s="53">
        <v>1</v>
      </c>
      <c r="L16" s="53" t="s">
        <v>12</v>
      </c>
      <c r="M16" s="53" t="s">
        <v>12</v>
      </c>
      <c r="N16" s="53" t="s">
        <v>12</v>
      </c>
      <c r="O16" s="53">
        <v>3.5</v>
      </c>
    </row>
    <row r="17" spans="1:15" x14ac:dyDescent="0.25">
      <c r="A17" s="17" t="str">
        <f t="shared" si="0"/>
        <v>Employee6</v>
      </c>
      <c r="B17" s="5" t="s">
        <v>32</v>
      </c>
      <c r="C17" s="8">
        <v>1070</v>
      </c>
      <c r="D17" s="13" t="s">
        <v>21</v>
      </c>
      <c r="E17" s="8">
        <v>4</v>
      </c>
      <c r="F17" s="8"/>
      <c r="G17" s="51" t="s">
        <v>57</v>
      </c>
      <c r="H17" s="53"/>
      <c r="I17" s="53"/>
      <c r="J17" s="53"/>
      <c r="K17" s="53"/>
      <c r="L17" s="53"/>
      <c r="M17" s="53"/>
      <c r="N17" s="53"/>
      <c r="O17" s="53"/>
    </row>
    <row r="18" spans="1:15" x14ac:dyDescent="0.25">
      <c r="A18" s="17" t="str">
        <f t="shared" si="0"/>
        <v>Employee7</v>
      </c>
      <c r="B18" s="5" t="s">
        <v>33</v>
      </c>
      <c r="C18" s="11">
        <v>1450</v>
      </c>
      <c r="D18" s="13" t="s">
        <v>20</v>
      </c>
      <c r="E18" s="11"/>
      <c r="F18" s="8"/>
      <c r="G18" s="52" t="s">
        <v>9</v>
      </c>
      <c r="H18" s="53">
        <v>8</v>
      </c>
      <c r="I18" s="53" t="s">
        <v>12</v>
      </c>
      <c r="J18" s="53">
        <v>8</v>
      </c>
      <c r="K18" s="53">
        <v>8</v>
      </c>
      <c r="L18" s="53" t="s">
        <v>12</v>
      </c>
      <c r="M18" s="53" t="s">
        <v>12</v>
      </c>
      <c r="N18" s="53" t="s">
        <v>12</v>
      </c>
      <c r="O18" s="53">
        <v>24</v>
      </c>
    </row>
    <row r="19" spans="1:15" x14ac:dyDescent="0.25">
      <c r="A19" s="17" t="str">
        <f t="shared" si="0"/>
        <v>Employee8</v>
      </c>
      <c r="B19" s="5" t="s">
        <v>34</v>
      </c>
      <c r="C19" s="11">
        <v>1212</v>
      </c>
      <c r="D19" s="13" t="s">
        <v>20</v>
      </c>
      <c r="E19" s="8"/>
      <c r="F19" s="11"/>
      <c r="G19" s="51" t="s">
        <v>58</v>
      </c>
      <c r="H19" s="53"/>
      <c r="I19" s="53"/>
      <c r="J19" s="53"/>
      <c r="K19" s="53"/>
      <c r="L19" s="53"/>
      <c r="M19" s="53"/>
      <c r="N19" s="53"/>
      <c r="O19" s="53"/>
    </row>
    <row r="20" spans="1:15" x14ac:dyDescent="0.25">
      <c r="A20" s="17" t="str">
        <f t="shared" si="0"/>
        <v>Employee9</v>
      </c>
      <c r="B20" s="5" t="s">
        <v>35</v>
      </c>
      <c r="C20" s="11">
        <v>1309</v>
      </c>
      <c r="D20" s="13" t="s">
        <v>20</v>
      </c>
      <c r="E20" s="8"/>
      <c r="F20" s="8"/>
      <c r="G20" s="52" t="s">
        <v>9</v>
      </c>
      <c r="H20" s="53">
        <v>8</v>
      </c>
      <c r="I20" s="53">
        <v>8</v>
      </c>
      <c r="J20" s="53">
        <v>8</v>
      </c>
      <c r="K20" s="53">
        <v>8</v>
      </c>
      <c r="L20" s="53" t="s">
        <v>12</v>
      </c>
      <c r="M20" s="53" t="s">
        <v>12</v>
      </c>
      <c r="N20" s="53" t="s">
        <v>12</v>
      </c>
      <c r="O20" s="53">
        <v>32</v>
      </c>
    </row>
    <row r="21" spans="1:15" x14ac:dyDescent="0.25">
      <c r="A21" s="17" t="str">
        <f t="shared" si="0"/>
        <v>Employee10</v>
      </c>
      <c r="B21" s="5" t="s">
        <v>36</v>
      </c>
      <c r="C21" s="11">
        <v>1480</v>
      </c>
      <c r="D21" s="13" t="s">
        <v>21</v>
      </c>
      <c r="E21" s="8"/>
      <c r="F21" s="8"/>
      <c r="G21" s="51" t="s">
        <v>59</v>
      </c>
      <c r="H21" s="53"/>
      <c r="I21" s="53"/>
      <c r="J21" s="53"/>
      <c r="K21" s="53"/>
      <c r="L21" s="53"/>
      <c r="M21" s="53"/>
      <c r="N21" s="53"/>
      <c r="O21" s="53"/>
    </row>
    <row r="22" spans="1:15" x14ac:dyDescent="0.25">
      <c r="A22" s="17" t="str">
        <f t="shared" si="0"/>
        <v>Employee11</v>
      </c>
      <c r="B22" s="5" t="s">
        <v>37</v>
      </c>
      <c r="C22" s="8">
        <v>1354</v>
      </c>
      <c r="D22" s="13" t="s">
        <v>21</v>
      </c>
      <c r="E22" s="8"/>
      <c r="F22" s="8"/>
      <c r="G22" s="52" t="s">
        <v>9</v>
      </c>
      <c r="H22" s="53">
        <v>8</v>
      </c>
      <c r="I22" s="53">
        <v>8</v>
      </c>
      <c r="J22" s="53">
        <v>8</v>
      </c>
      <c r="K22" s="53">
        <v>8</v>
      </c>
      <c r="L22" s="53">
        <v>6</v>
      </c>
      <c r="M22" s="53" t="s">
        <v>12</v>
      </c>
      <c r="N22" s="53" t="s">
        <v>12</v>
      </c>
      <c r="O22" s="53">
        <v>38</v>
      </c>
    </row>
    <row r="23" spans="1:15" x14ac:dyDescent="0.25">
      <c r="A23" s="17" t="str">
        <f t="shared" si="0"/>
        <v>Employee12</v>
      </c>
      <c r="B23" s="5" t="s">
        <v>38</v>
      </c>
      <c r="C23" s="8">
        <v>1032</v>
      </c>
      <c r="D23" s="13" t="s">
        <v>21</v>
      </c>
      <c r="E23" s="8"/>
      <c r="F23" s="8"/>
      <c r="G23" s="51" t="s">
        <v>60</v>
      </c>
      <c r="H23" s="53"/>
      <c r="I23" s="53"/>
      <c r="J23" s="53"/>
      <c r="K23" s="53"/>
      <c r="L23" s="53"/>
      <c r="M23" s="53"/>
      <c r="N23" s="53"/>
      <c r="O23" s="53"/>
    </row>
    <row r="24" spans="1:15" x14ac:dyDescent="0.25">
      <c r="A24" s="17" t="str">
        <f t="shared" si="0"/>
        <v>Employee13</v>
      </c>
      <c r="B24" s="5" t="s">
        <v>39</v>
      </c>
      <c r="C24" s="8">
        <v>1122</v>
      </c>
      <c r="D24" s="13" t="s">
        <v>19</v>
      </c>
      <c r="E24" s="8">
        <v>2</v>
      </c>
      <c r="F24" s="8"/>
      <c r="G24" s="52" t="s">
        <v>9</v>
      </c>
      <c r="H24" s="53">
        <v>8</v>
      </c>
      <c r="I24" s="53">
        <v>8</v>
      </c>
      <c r="J24" s="53">
        <v>8</v>
      </c>
      <c r="K24" s="53">
        <v>8</v>
      </c>
      <c r="L24" s="53">
        <v>6</v>
      </c>
      <c r="M24" s="53" t="s">
        <v>12</v>
      </c>
      <c r="N24" s="53" t="s">
        <v>12</v>
      </c>
      <c r="O24" s="53">
        <v>38</v>
      </c>
    </row>
    <row r="25" spans="1:15" x14ac:dyDescent="0.25">
      <c r="A25" s="17" t="str">
        <f t="shared" si="0"/>
        <v>Employee14</v>
      </c>
      <c r="B25" s="5" t="s">
        <v>40</v>
      </c>
      <c r="C25" s="8">
        <v>1035</v>
      </c>
      <c r="D25" s="13" t="s">
        <v>23</v>
      </c>
      <c r="E25" s="8"/>
      <c r="F25" s="8"/>
      <c r="G25" s="51" t="s">
        <v>61</v>
      </c>
      <c r="H25" s="53"/>
      <c r="I25" s="53"/>
      <c r="J25" s="53"/>
      <c r="K25" s="53"/>
      <c r="L25" s="53"/>
      <c r="M25" s="53"/>
      <c r="N25" s="53"/>
      <c r="O25" s="53"/>
    </row>
    <row r="26" spans="1:15" x14ac:dyDescent="0.25">
      <c r="A26" s="17" t="str">
        <f t="shared" si="0"/>
        <v>Employee15</v>
      </c>
      <c r="B26" s="5" t="s">
        <v>41</v>
      </c>
      <c r="C26" s="8">
        <v>1121</v>
      </c>
      <c r="D26" s="13" t="s">
        <v>21</v>
      </c>
      <c r="E26" s="8"/>
      <c r="F26" s="8"/>
      <c r="G26" s="52" t="s">
        <v>9</v>
      </c>
      <c r="H26" s="53">
        <v>8</v>
      </c>
      <c r="I26" s="53">
        <v>8</v>
      </c>
      <c r="J26" s="53">
        <v>8</v>
      </c>
      <c r="K26" s="53">
        <v>8</v>
      </c>
      <c r="L26" s="53">
        <v>8</v>
      </c>
      <c r="M26" s="53" t="s">
        <v>12</v>
      </c>
      <c r="N26" s="53" t="s">
        <v>12</v>
      </c>
      <c r="O26" s="53">
        <v>40</v>
      </c>
    </row>
    <row r="27" spans="1:15" x14ac:dyDescent="0.25">
      <c r="A27" s="17" t="str">
        <f t="shared" si="0"/>
        <v>Employee16</v>
      </c>
      <c r="B27" s="5" t="s">
        <v>42</v>
      </c>
      <c r="C27" s="8">
        <v>1353</v>
      </c>
      <c r="D27" s="13" t="s">
        <v>21</v>
      </c>
      <c r="E27" s="8"/>
      <c r="F27" s="8"/>
      <c r="G27" s="52" t="s">
        <v>10</v>
      </c>
      <c r="H27" s="53">
        <v>4</v>
      </c>
      <c r="I27" s="53">
        <v>1.5</v>
      </c>
      <c r="J27" s="53" t="s">
        <v>12</v>
      </c>
      <c r="K27" s="53" t="s">
        <v>12</v>
      </c>
      <c r="L27" s="53" t="s">
        <v>12</v>
      </c>
      <c r="M27" s="53" t="s">
        <v>12</v>
      </c>
      <c r="N27" s="53" t="s">
        <v>12</v>
      </c>
      <c r="O27" s="53">
        <v>5.5</v>
      </c>
    </row>
    <row r="28" spans="1:15" x14ac:dyDescent="0.25">
      <c r="A28" s="17" t="str">
        <f t="shared" si="0"/>
        <v>Employee17</v>
      </c>
      <c r="B28" s="5" t="s">
        <v>43</v>
      </c>
      <c r="C28" s="8">
        <v>1457</v>
      </c>
      <c r="D28" s="13" t="s">
        <v>21</v>
      </c>
      <c r="E28" s="8"/>
      <c r="F28" s="8"/>
      <c r="G28" s="52" t="s">
        <v>7</v>
      </c>
      <c r="H28" s="53">
        <v>1</v>
      </c>
      <c r="I28" s="53" t="s">
        <v>12</v>
      </c>
      <c r="J28" s="53" t="s">
        <v>12</v>
      </c>
      <c r="K28" s="53" t="s">
        <v>12</v>
      </c>
      <c r="L28" s="53" t="s">
        <v>12</v>
      </c>
      <c r="M28" s="53" t="s">
        <v>12</v>
      </c>
      <c r="N28" s="53" t="s">
        <v>12</v>
      </c>
      <c r="O28" s="53">
        <v>1</v>
      </c>
    </row>
    <row r="29" spans="1:15" x14ac:dyDescent="0.25">
      <c r="A29" s="17" t="str">
        <f t="shared" si="0"/>
        <v>Employee18</v>
      </c>
      <c r="B29" s="5" t="s">
        <v>44</v>
      </c>
      <c r="C29" s="8">
        <v>1027</v>
      </c>
      <c r="D29" s="13" t="s">
        <v>21</v>
      </c>
      <c r="E29" s="8">
        <v>4</v>
      </c>
      <c r="F29" s="8"/>
      <c r="G29" s="51" t="s">
        <v>62</v>
      </c>
      <c r="H29" s="53"/>
      <c r="I29" s="53"/>
      <c r="J29" s="53"/>
      <c r="K29" s="53"/>
      <c r="L29" s="53"/>
      <c r="M29" s="53"/>
      <c r="N29" s="53"/>
      <c r="O29" s="53"/>
    </row>
    <row r="30" spans="1:15" x14ac:dyDescent="0.25">
      <c r="A30" s="17" t="str">
        <f t="shared" si="0"/>
        <v>Employee19</v>
      </c>
      <c r="B30" s="5" t="s">
        <v>45</v>
      </c>
      <c r="C30" s="8">
        <v>1209</v>
      </c>
      <c r="D30" s="13" t="s">
        <v>19</v>
      </c>
      <c r="E30" s="8"/>
      <c r="F30" s="8"/>
      <c r="G30" s="52" t="s">
        <v>9</v>
      </c>
      <c r="H30" s="53">
        <v>8</v>
      </c>
      <c r="I30" s="53">
        <v>8</v>
      </c>
      <c r="J30" s="53">
        <v>8</v>
      </c>
      <c r="K30" s="53">
        <v>8</v>
      </c>
      <c r="L30" s="53">
        <v>8</v>
      </c>
      <c r="M30" s="53" t="s">
        <v>12</v>
      </c>
      <c r="N30" s="53" t="s">
        <v>12</v>
      </c>
      <c r="O30" s="53">
        <v>40</v>
      </c>
    </row>
    <row r="31" spans="1:15" x14ac:dyDescent="0.25">
      <c r="A31" s="17" t="str">
        <f t="shared" si="0"/>
        <v>Employee20</v>
      </c>
      <c r="B31" s="5" t="s">
        <v>46</v>
      </c>
      <c r="C31" s="11">
        <v>1360</v>
      </c>
      <c r="D31" s="13" t="s">
        <v>21</v>
      </c>
      <c r="E31" s="8">
        <v>4</v>
      </c>
      <c r="F31" s="8"/>
      <c r="G31" s="52" t="s">
        <v>10</v>
      </c>
      <c r="H31" s="53">
        <v>4</v>
      </c>
      <c r="I31" s="53">
        <v>4</v>
      </c>
      <c r="J31" s="53" t="s">
        <v>12</v>
      </c>
      <c r="K31" s="53" t="s">
        <v>12</v>
      </c>
      <c r="L31" s="53" t="s">
        <v>12</v>
      </c>
      <c r="M31" s="53" t="s">
        <v>12</v>
      </c>
      <c r="N31" s="53" t="s">
        <v>12</v>
      </c>
      <c r="O31" s="53">
        <v>8</v>
      </c>
    </row>
    <row r="32" spans="1:15" x14ac:dyDescent="0.25">
      <c r="A32" s="17" t="str">
        <f t="shared" si="0"/>
        <v>Employee21</v>
      </c>
      <c r="B32" s="5" t="s">
        <v>47</v>
      </c>
      <c r="C32" s="8">
        <v>1437</v>
      </c>
      <c r="D32" s="13" t="s">
        <v>21</v>
      </c>
      <c r="E32" s="8"/>
      <c r="F32" s="8"/>
      <c r="G32" s="51" t="s">
        <v>63</v>
      </c>
      <c r="H32" s="53"/>
      <c r="I32" s="53"/>
      <c r="J32" s="53"/>
      <c r="K32" s="53"/>
      <c r="L32" s="53"/>
      <c r="M32" s="53"/>
      <c r="N32" s="53"/>
      <c r="O32" s="53"/>
    </row>
    <row r="33" spans="1:22" x14ac:dyDescent="0.25">
      <c r="A33" s="17" t="str">
        <f t="shared" si="0"/>
        <v>Employee22</v>
      </c>
      <c r="B33" s="5" t="s">
        <v>48</v>
      </c>
      <c r="C33" s="8">
        <v>1047</v>
      </c>
      <c r="D33" s="13" t="s">
        <v>21</v>
      </c>
      <c r="E33" s="8"/>
      <c r="F33" s="8"/>
      <c r="G33" s="52" t="s">
        <v>9</v>
      </c>
      <c r="H33" s="53">
        <v>8</v>
      </c>
      <c r="I33" s="53">
        <v>8</v>
      </c>
      <c r="J33" s="53">
        <v>8</v>
      </c>
      <c r="K33" s="53">
        <v>8</v>
      </c>
      <c r="L33" s="53">
        <v>8</v>
      </c>
      <c r="M33" s="53" t="s">
        <v>12</v>
      </c>
      <c r="N33" s="53" t="s">
        <v>12</v>
      </c>
      <c r="O33" s="53">
        <v>40</v>
      </c>
    </row>
    <row r="34" spans="1:22" s="4" customFormat="1" x14ac:dyDescent="0.25">
      <c r="A34" s="17" t="str">
        <f t="shared" si="0"/>
        <v>Employee23</v>
      </c>
      <c r="B34" s="5" t="s">
        <v>49</v>
      </c>
      <c r="C34" s="8">
        <v>1025</v>
      </c>
      <c r="D34" s="13" t="s">
        <v>19</v>
      </c>
      <c r="E34" s="8"/>
      <c r="F34" s="8"/>
      <c r="G34" s="51" t="s">
        <v>64</v>
      </c>
      <c r="H34" s="53"/>
      <c r="I34" s="53"/>
      <c r="J34" s="53"/>
      <c r="K34" s="53"/>
      <c r="L34" s="53"/>
      <c r="M34" s="53"/>
      <c r="N34" s="53"/>
      <c r="O34" s="53"/>
      <c r="P34" s="50"/>
      <c r="Q34" s="50"/>
      <c r="R34" s="50"/>
      <c r="S34" s="50"/>
      <c r="T34" s="50"/>
      <c r="U34"/>
      <c r="V34"/>
    </row>
    <row r="35" spans="1:22" x14ac:dyDescent="0.25">
      <c r="A35" s="17" t="str">
        <f t="shared" si="0"/>
        <v>Employee24</v>
      </c>
      <c r="B35" s="5" t="s">
        <v>50</v>
      </c>
      <c r="C35" s="11">
        <v>1467</v>
      </c>
      <c r="D35" s="13" t="s">
        <v>21</v>
      </c>
      <c r="E35" s="8"/>
      <c r="F35" s="8"/>
      <c r="G35" s="52" t="s">
        <v>9</v>
      </c>
      <c r="H35" s="53">
        <v>8</v>
      </c>
      <c r="I35" s="53">
        <v>8</v>
      </c>
      <c r="J35" s="53">
        <v>8</v>
      </c>
      <c r="K35" s="53">
        <v>8</v>
      </c>
      <c r="L35" s="53" t="s">
        <v>12</v>
      </c>
      <c r="M35" s="53" t="s">
        <v>12</v>
      </c>
      <c r="N35" s="53" t="s">
        <v>12</v>
      </c>
      <c r="O35" s="53">
        <v>32</v>
      </c>
    </row>
    <row r="36" spans="1:22" x14ac:dyDescent="0.25">
      <c r="A36" s="17" t="str">
        <f t="shared" si="0"/>
        <v>Employee25</v>
      </c>
      <c r="B36" s="5" t="s">
        <v>51</v>
      </c>
      <c r="C36" s="8">
        <v>1253</v>
      </c>
      <c r="D36" s="2" t="s">
        <v>21</v>
      </c>
      <c r="E36" s="8"/>
      <c r="F36" s="8"/>
      <c r="G36" s="52" t="s">
        <v>10</v>
      </c>
      <c r="H36" s="53">
        <v>4</v>
      </c>
      <c r="I36" s="53">
        <v>3.5</v>
      </c>
      <c r="J36" s="53" t="s">
        <v>12</v>
      </c>
      <c r="K36" s="53">
        <v>2</v>
      </c>
      <c r="L36" s="53" t="s">
        <v>12</v>
      </c>
      <c r="M36" s="53" t="s">
        <v>12</v>
      </c>
      <c r="N36" s="53" t="s">
        <v>12</v>
      </c>
      <c r="O36" s="53">
        <v>9.5</v>
      </c>
    </row>
    <row r="37" spans="1:22" x14ac:dyDescent="0.25">
      <c r="A37" s="17" t="str">
        <f t="shared" si="0"/>
        <v>Employee26</v>
      </c>
      <c r="B37" s="5" t="s">
        <v>52</v>
      </c>
      <c r="C37" s="11">
        <v>1082</v>
      </c>
      <c r="D37" s="13" t="s">
        <v>19</v>
      </c>
      <c r="E37" s="16"/>
      <c r="F37" s="8"/>
      <c r="G37" s="51" t="s">
        <v>65</v>
      </c>
      <c r="H37" s="53"/>
      <c r="I37" s="53"/>
      <c r="J37" s="53"/>
      <c r="K37" s="53"/>
      <c r="L37" s="53"/>
      <c r="M37" s="53"/>
      <c r="N37" s="53"/>
      <c r="O37" s="53"/>
    </row>
    <row r="38" spans="1:22" x14ac:dyDescent="0.25">
      <c r="A38" s="5"/>
      <c r="B38" s="5"/>
      <c r="C38" s="8"/>
      <c r="D38" s="13"/>
      <c r="E38" s="8"/>
      <c r="F38" s="16"/>
      <c r="G38" s="52" t="s">
        <v>9</v>
      </c>
      <c r="H38" s="53" t="s">
        <v>12</v>
      </c>
      <c r="I38" s="53">
        <v>8</v>
      </c>
      <c r="J38" s="53">
        <v>8</v>
      </c>
      <c r="K38" s="53">
        <v>8</v>
      </c>
      <c r="L38" s="53" t="s">
        <v>12</v>
      </c>
      <c r="M38" s="53" t="s">
        <v>12</v>
      </c>
      <c r="N38" s="53" t="s">
        <v>12</v>
      </c>
      <c r="O38" s="53">
        <v>24</v>
      </c>
    </row>
    <row r="39" spans="1:22" x14ac:dyDescent="0.25">
      <c r="A39" s="5"/>
      <c r="B39" s="5"/>
      <c r="C39" s="8"/>
      <c r="D39" s="13"/>
      <c r="E39" s="8"/>
      <c r="F39" s="8"/>
      <c r="G39" s="51" t="s">
        <v>66</v>
      </c>
      <c r="H39" s="53"/>
      <c r="I39" s="53"/>
      <c r="J39" s="53"/>
      <c r="K39" s="53"/>
      <c r="L39" s="53"/>
      <c r="M39" s="53"/>
      <c r="N39" s="53"/>
      <c r="O39" s="53"/>
    </row>
    <row r="40" spans="1:22" x14ac:dyDescent="0.25">
      <c r="A40" s="5"/>
      <c r="B40" s="5"/>
      <c r="C40" s="8"/>
      <c r="D40" s="13"/>
      <c r="E40" s="8"/>
      <c r="F40" s="8"/>
      <c r="G40" s="52" t="s">
        <v>9</v>
      </c>
      <c r="H40" s="53">
        <v>8</v>
      </c>
      <c r="I40" s="53">
        <v>8</v>
      </c>
      <c r="J40" s="53">
        <v>8</v>
      </c>
      <c r="K40" s="53">
        <v>8</v>
      </c>
      <c r="L40" s="53">
        <v>8</v>
      </c>
      <c r="M40" s="53" t="s">
        <v>12</v>
      </c>
      <c r="N40" s="53" t="s">
        <v>12</v>
      </c>
      <c r="O40" s="53">
        <v>40</v>
      </c>
    </row>
    <row r="41" spans="1:22" x14ac:dyDescent="0.25">
      <c r="A41" s="5"/>
      <c r="B41" s="5"/>
      <c r="C41" s="8"/>
      <c r="D41" s="13"/>
      <c r="E41" s="8"/>
      <c r="F41" s="8"/>
      <c r="G41" s="52" t="s">
        <v>10</v>
      </c>
      <c r="H41" s="53">
        <v>4</v>
      </c>
      <c r="I41" s="53">
        <v>1.5</v>
      </c>
      <c r="J41" s="53" t="s">
        <v>12</v>
      </c>
      <c r="K41" s="53" t="s">
        <v>12</v>
      </c>
      <c r="L41" s="53" t="s">
        <v>12</v>
      </c>
      <c r="M41" s="53" t="s">
        <v>12</v>
      </c>
      <c r="N41" s="53" t="s">
        <v>12</v>
      </c>
      <c r="O41" s="53">
        <v>5.5</v>
      </c>
    </row>
    <row r="42" spans="1:22" x14ac:dyDescent="0.25">
      <c r="A42" s="5"/>
      <c r="B42" s="5"/>
      <c r="C42" s="8"/>
      <c r="D42" s="13"/>
      <c r="E42" s="8"/>
      <c r="F42" s="8"/>
      <c r="G42" s="52" t="s">
        <v>7</v>
      </c>
      <c r="H42" s="53">
        <v>1</v>
      </c>
      <c r="I42" s="53" t="s">
        <v>12</v>
      </c>
      <c r="J42" s="53" t="s">
        <v>12</v>
      </c>
      <c r="K42" s="53" t="s">
        <v>12</v>
      </c>
      <c r="L42" s="53" t="s">
        <v>12</v>
      </c>
      <c r="M42" s="53" t="s">
        <v>12</v>
      </c>
      <c r="N42" s="53" t="s">
        <v>12</v>
      </c>
      <c r="O42" s="53">
        <v>1</v>
      </c>
    </row>
    <row r="43" spans="1:22" x14ac:dyDescent="0.25">
      <c r="A43" s="5"/>
      <c r="B43" s="5"/>
      <c r="C43" s="8"/>
      <c r="D43" s="13"/>
      <c r="E43" s="8"/>
      <c r="F43" s="8"/>
      <c r="G43" s="51" t="s">
        <v>67</v>
      </c>
      <c r="H43" s="53"/>
      <c r="I43" s="53"/>
      <c r="J43" s="53"/>
      <c r="K43" s="53"/>
      <c r="L43" s="53"/>
      <c r="M43" s="53"/>
      <c r="N43" s="53"/>
      <c r="O43" s="53"/>
    </row>
    <row r="44" spans="1:22" x14ac:dyDescent="0.25">
      <c r="A44" s="5"/>
      <c r="B44" s="5"/>
      <c r="C44" s="8"/>
      <c r="D44" s="13"/>
      <c r="E44" s="8"/>
      <c r="F44" s="8"/>
      <c r="G44" s="52" t="s">
        <v>9</v>
      </c>
      <c r="H44" s="53">
        <v>8</v>
      </c>
      <c r="I44" s="53">
        <v>8</v>
      </c>
      <c r="J44" s="53">
        <v>8</v>
      </c>
      <c r="K44" s="53">
        <v>8</v>
      </c>
      <c r="L44" s="53">
        <v>8</v>
      </c>
      <c r="M44" s="53" t="s">
        <v>12</v>
      </c>
      <c r="N44" s="53" t="s">
        <v>12</v>
      </c>
      <c r="O44" s="53">
        <v>40</v>
      </c>
    </row>
    <row r="45" spans="1:22" x14ac:dyDescent="0.25">
      <c r="A45" s="5"/>
      <c r="B45" s="5"/>
      <c r="C45" s="8"/>
      <c r="D45" s="13"/>
      <c r="E45" s="8"/>
      <c r="F45" s="8"/>
      <c r="G45" s="52" t="s">
        <v>10</v>
      </c>
      <c r="H45" s="53">
        <v>4</v>
      </c>
      <c r="I45" s="53">
        <v>2</v>
      </c>
      <c r="J45" s="53">
        <v>1.5</v>
      </c>
      <c r="K45" s="53">
        <v>2</v>
      </c>
      <c r="L45" s="53">
        <v>0.5</v>
      </c>
      <c r="M45" s="53" t="s">
        <v>12</v>
      </c>
      <c r="N45" s="53" t="s">
        <v>12</v>
      </c>
      <c r="O45" s="53">
        <v>10</v>
      </c>
    </row>
    <row r="46" spans="1:22" x14ac:dyDescent="0.25">
      <c r="A46" s="5"/>
      <c r="B46" s="5"/>
      <c r="C46" s="8"/>
      <c r="D46" s="13"/>
      <c r="E46" s="8"/>
      <c r="F46" s="8"/>
      <c r="G46" s="51" t="s">
        <v>68</v>
      </c>
      <c r="H46" s="53"/>
      <c r="I46" s="53"/>
      <c r="J46" s="53"/>
      <c r="K46" s="53"/>
      <c r="L46" s="53"/>
      <c r="M46" s="53"/>
      <c r="N46" s="53"/>
      <c r="O46" s="53"/>
    </row>
    <row r="47" spans="1:22" x14ac:dyDescent="0.25">
      <c r="A47" s="5"/>
      <c r="B47" s="5"/>
      <c r="C47" s="8"/>
      <c r="D47" s="13"/>
      <c r="E47" s="8"/>
      <c r="F47" s="8"/>
      <c r="G47" s="52" t="s">
        <v>9</v>
      </c>
      <c r="H47" s="53">
        <v>8</v>
      </c>
      <c r="I47" s="53">
        <v>8</v>
      </c>
      <c r="J47" s="53">
        <v>8</v>
      </c>
      <c r="K47" s="53">
        <v>8</v>
      </c>
      <c r="L47" s="53">
        <v>8</v>
      </c>
      <c r="M47" s="53" t="s">
        <v>12</v>
      </c>
      <c r="N47" s="53" t="s">
        <v>12</v>
      </c>
      <c r="O47" s="53">
        <v>40</v>
      </c>
    </row>
    <row r="48" spans="1:22" x14ac:dyDescent="0.25">
      <c r="A48" s="5"/>
      <c r="B48" s="5"/>
      <c r="C48" s="8"/>
      <c r="D48" s="13"/>
      <c r="E48" s="8"/>
      <c r="F48" s="8"/>
      <c r="G48" s="52" t="s">
        <v>10</v>
      </c>
      <c r="H48" s="53">
        <v>1</v>
      </c>
      <c r="I48" s="53">
        <v>1</v>
      </c>
      <c r="J48" s="53">
        <v>1</v>
      </c>
      <c r="K48" s="53">
        <v>1.5</v>
      </c>
      <c r="L48" s="53" t="s">
        <v>12</v>
      </c>
      <c r="M48" s="53" t="s">
        <v>12</v>
      </c>
      <c r="N48" s="53" t="s">
        <v>12</v>
      </c>
      <c r="O48" s="53">
        <v>4.5</v>
      </c>
    </row>
    <row r="49" spans="1:15" x14ac:dyDescent="0.25">
      <c r="A49" s="5"/>
      <c r="B49" s="5"/>
      <c r="C49" s="8"/>
      <c r="D49" s="13"/>
      <c r="E49" s="8"/>
      <c r="F49" s="8"/>
      <c r="G49" s="51" t="s">
        <v>69</v>
      </c>
      <c r="H49" s="53"/>
      <c r="I49" s="53"/>
      <c r="J49" s="53"/>
      <c r="K49" s="53"/>
      <c r="L49" s="53"/>
      <c r="M49" s="53"/>
      <c r="N49" s="53"/>
      <c r="O49" s="53"/>
    </row>
    <row r="50" spans="1:15" x14ac:dyDescent="0.25">
      <c r="A50" s="5"/>
      <c r="B50" s="5"/>
      <c r="C50" s="8"/>
      <c r="D50" s="13"/>
      <c r="E50" s="8"/>
      <c r="F50" s="8"/>
      <c r="G50" s="52" t="s">
        <v>9</v>
      </c>
      <c r="H50" s="53">
        <v>8</v>
      </c>
      <c r="I50" s="53">
        <v>8</v>
      </c>
      <c r="J50" s="53">
        <v>8</v>
      </c>
      <c r="K50" s="53">
        <v>8</v>
      </c>
      <c r="L50" s="53">
        <v>8</v>
      </c>
      <c r="M50" s="53" t="s">
        <v>12</v>
      </c>
      <c r="N50" s="53" t="s">
        <v>12</v>
      </c>
      <c r="O50" s="53">
        <v>40</v>
      </c>
    </row>
    <row r="51" spans="1:15" x14ac:dyDescent="0.25">
      <c r="A51" s="5"/>
      <c r="B51" s="5"/>
      <c r="C51" s="8"/>
      <c r="D51" s="13"/>
      <c r="E51" s="8"/>
      <c r="F51" s="8"/>
      <c r="G51" s="52" t="s">
        <v>10</v>
      </c>
      <c r="H51" s="53">
        <v>1</v>
      </c>
      <c r="I51" s="53">
        <v>1</v>
      </c>
      <c r="J51" s="53">
        <v>0.5</v>
      </c>
      <c r="K51" s="53">
        <v>1</v>
      </c>
      <c r="L51" s="53" t="s">
        <v>12</v>
      </c>
      <c r="M51" s="53" t="s">
        <v>12</v>
      </c>
      <c r="N51" s="53" t="s">
        <v>12</v>
      </c>
      <c r="O51" s="53">
        <v>3.5</v>
      </c>
    </row>
    <row r="52" spans="1:15" x14ac:dyDescent="0.25">
      <c r="A52" s="5"/>
      <c r="B52" s="5"/>
      <c r="C52" s="8"/>
      <c r="D52" s="13"/>
      <c r="E52" s="8"/>
      <c r="F52" s="8"/>
      <c r="G52" s="51" t="s">
        <v>70</v>
      </c>
      <c r="H52" s="53"/>
      <c r="I52" s="53"/>
      <c r="J52" s="53"/>
      <c r="K52" s="53"/>
      <c r="L52" s="53"/>
      <c r="M52" s="53"/>
      <c r="N52" s="53"/>
      <c r="O52" s="53"/>
    </row>
    <row r="53" spans="1:15" x14ac:dyDescent="0.25">
      <c r="A53" s="5"/>
      <c r="B53" s="5"/>
      <c r="C53" s="8"/>
      <c r="D53" s="13"/>
      <c r="E53" s="8"/>
      <c r="F53" s="8"/>
      <c r="G53" s="52" t="s">
        <v>9</v>
      </c>
      <c r="H53" s="53">
        <v>8</v>
      </c>
      <c r="I53" s="53">
        <v>8</v>
      </c>
      <c r="J53" s="53">
        <v>8</v>
      </c>
      <c r="K53" s="53">
        <v>8</v>
      </c>
      <c r="L53" s="53">
        <v>8</v>
      </c>
      <c r="M53" s="53" t="s">
        <v>12</v>
      </c>
      <c r="N53" s="53" t="s">
        <v>12</v>
      </c>
      <c r="O53" s="53">
        <v>40</v>
      </c>
    </row>
    <row r="54" spans="1:15" x14ac:dyDescent="0.25">
      <c r="A54" s="5"/>
      <c r="B54" s="5"/>
      <c r="C54" s="8"/>
      <c r="D54" s="13"/>
      <c r="E54" s="8"/>
      <c r="F54" s="8"/>
      <c r="G54" s="52" t="s">
        <v>10</v>
      </c>
      <c r="H54" s="53">
        <v>1</v>
      </c>
      <c r="I54" s="53">
        <v>1.5</v>
      </c>
      <c r="J54" s="53">
        <v>1</v>
      </c>
      <c r="K54" s="53">
        <v>1.5</v>
      </c>
      <c r="L54" s="53" t="s">
        <v>12</v>
      </c>
      <c r="M54" s="53" t="s">
        <v>12</v>
      </c>
      <c r="N54" s="53" t="s">
        <v>12</v>
      </c>
      <c r="O54" s="53">
        <v>5</v>
      </c>
    </row>
    <row r="55" spans="1:15" x14ac:dyDescent="0.25">
      <c r="A55" s="5"/>
      <c r="B55" s="5"/>
      <c r="C55" s="8"/>
      <c r="D55" s="13"/>
      <c r="E55" s="8"/>
      <c r="F55" s="8"/>
      <c r="G55" s="51" t="s">
        <v>71</v>
      </c>
      <c r="H55" s="53"/>
      <c r="I55" s="53"/>
      <c r="J55" s="53"/>
      <c r="K55" s="53"/>
      <c r="L55" s="53"/>
      <c r="M55" s="53"/>
      <c r="N55" s="53"/>
      <c r="O55" s="53"/>
    </row>
    <row r="56" spans="1:15" x14ac:dyDescent="0.25">
      <c r="A56" s="5"/>
      <c r="B56" s="5"/>
      <c r="C56" s="8"/>
      <c r="D56" s="13"/>
      <c r="E56" s="8"/>
      <c r="F56" s="8"/>
      <c r="G56" s="52" t="s">
        <v>9</v>
      </c>
      <c r="H56" s="53">
        <v>8</v>
      </c>
      <c r="I56" s="53">
        <v>8</v>
      </c>
      <c r="J56" s="53">
        <v>8</v>
      </c>
      <c r="K56" s="53">
        <v>8</v>
      </c>
      <c r="L56" s="53">
        <v>8</v>
      </c>
      <c r="M56" s="53" t="s">
        <v>12</v>
      </c>
      <c r="N56" s="53" t="s">
        <v>12</v>
      </c>
      <c r="O56" s="53">
        <v>40</v>
      </c>
    </row>
    <row r="57" spans="1:15" x14ac:dyDescent="0.25">
      <c r="A57" s="5"/>
      <c r="B57" s="5"/>
      <c r="C57" s="8"/>
      <c r="D57" s="13"/>
      <c r="E57" s="8"/>
      <c r="F57" s="8"/>
      <c r="G57" s="52" t="s">
        <v>10</v>
      </c>
      <c r="H57" s="53">
        <v>1</v>
      </c>
      <c r="I57" s="53">
        <v>1</v>
      </c>
      <c r="J57" s="53">
        <v>0.5</v>
      </c>
      <c r="K57" s="53">
        <v>1</v>
      </c>
      <c r="L57" s="53" t="s">
        <v>12</v>
      </c>
      <c r="M57" s="53" t="s">
        <v>12</v>
      </c>
      <c r="N57" s="53" t="s">
        <v>12</v>
      </c>
      <c r="O57" s="53">
        <v>3.5</v>
      </c>
    </row>
    <row r="58" spans="1:15" x14ac:dyDescent="0.25">
      <c r="A58" s="5"/>
      <c r="B58" s="5"/>
      <c r="C58" s="8"/>
      <c r="D58" s="13"/>
      <c r="E58" s="8"/>
      <c r="F58" s="8"/>
      <c r="G58" s="51" t="s">
        <v>72</v>
      </c>
      <c r="H58" s="53"/>
      <c r="I58" s="53"/>
      <c r="J58" s="53"/>
      <c r="K58" s="53"/>
      <c r="L58" s="53"/>
      <c r="M58" s="53"/>
      <c r="N58" s="53"/>
      <c r="O58" s="53"/>
    </row>
    <row r="59" spans="1:15" x14ac:dyDescent="0.25">
      <c r="A59" s="5"/>
      <c r="B59" s="5"/>
      <c r="C59" s="8"/>
      <c r="D59" s="13"/>
      <c r="E59" s="8"/>
      <c r="F59" s="8"/>
      <c r="G59" s="52" t="s">
        <v>9</v>
      </c>
      <c r="H59" s="53">
        <v>8</v>
      </c>
      <c r="I59" s="53">
        <v>8</v>
      </c>
      <c r="J59" s="53">
        <v>8</v>
      </c>
      <c r="K59" s="53">
        <v>8</v>
      </c>
      <c r="L59" s="53">
        <v>8</v>
      </c>
      <c r="M59" s="53" t="s">
        <v>12</v>
      </c>
      <c r="N59" s="53" t="s">
        <v>12</v>
      </c>
      <c r="O59" s="53">
        <v>40</v>
      </c>
    </row>
    <row r="60" spans="1:15" x14ac:dyDescent="0.25">
      <c r="A60" s="5"/>
      <c r="B60" s="5"/>
      <c r="C60" s="8"/>
      <c r="D60" s="13"/>
      <c r="E60" s="8"/>
      <c r="F60" s="8"/>
      <c r="G60" s="52" t="s">
        <v>10</v>
      </c>
      <c r="H60" s="53">
        <v>1</v>
      </c>
      <c r="I60" s="53">
        <v>1</v>
      </c>
      <c r="J60" s="53">
        <v>0.5</v>
      </c>
      <c r="K60" s="53">
        <v>1</v>
      </c>
      <c r="L60" s="53" t="s">
        <v>12</v>
      </c>
      <c r="M60" s="53" t="s">
        <v>12</v>
      </c>
      <c r="N60" s="53" t="s">
        <v>12</v>
      </c>
      <c r="O60" s="53">
        <v>3.5</v>
      </c>
    </row>
    <row r="61" spans="1:15" x14ac:dyDescent="0.25">
      <c r="A61" s="5"/>
      <c r="B61" s="5"/>
      <c r="C61" s="8"/>
      <c r="D61" s="13"/>
      <c r="E61" s="8"/>
      <c r="F61" s="8"/>
      <c r="G61" s="51" t="s">
        <v>73</v>
      </c>
      <c r="H61" s="53"/>
      <c r="I61" s="53"/>
      <c r="J61" s="53"/>
      <c r="K61" s="53"/>
      <c r="L61" s="53"/>
      <c r="M61" s="53"/>
      <c r="N61" s="53"/>
      <c r="O61" s="53"/>
    </row>
    <row r="62" spans="1:15" x14ac:dyDescent="0.25">
      <c r="A62" s="5"/>
      <c r="B62" s="5"/>
      <c r="C62" s="8"/>
      <c r="D62" s="13"/>
      <c r="E62" s="8"/>
      <c r="F62" s="8"/>
      <c r="G62" s="52" t="s">
        <v>9</v>
      </c>
      <c r="H62" s="53" t="s">
        <v>12</v>
      </c>
      <c r="I62" s="53" t="s">
        <v>12</v>
      </c>
      <c r="J62" s="53" t="s">
        <v>12</v>
      </c>
      <c r="K62" s="53" t="s">
        <v>12</v>
      </c>
      <c r="L62" s="53">
        <v>6</v>
      </c>
      <c r="M62" s="53" t="s">
        <v>12</v>
      </c>
      <c r="N62" s="53" t="s">
        <v>12</v>
      </c>
      <c r="O62" s="53">
        <v>6</v>
      </c>
    </row>
    <row r="63" spans="1:15" x14ac:dyDescent="0.25">
      <c r="A63" s="5"/>
      <c r="B63" s="5"/>
      <c r="C63" s="8"/>
      <c r="D63" s="13"/>
      <c r="E63" s="8"/>
      <c r="F63" s="8"/>
      <c r="G63" s="51" t="s">
        <v>74</v>
      </c>
      <c r="H63" s="53"/>
      <c r="I63" s="53"/>
      <c r="J63" s="53"/>
      <c r="K63" s="53"/>
      <c r="L63" s="53"/>
      <c r="M63" s="53"/>
      <c r="N63" s="53"/>
      <c r="O63" s="53"/>
    </row>
    <row r="64" spans="1:15" x14ac:dyDescent="0.25">
      <c r="A64" s="5"/>
      <c r="B64" s="5"/>
      <c r="C64" s="8"/>
      <c r="D64" s="13"/>
      <c r="E64" s="8"/>
      <c r="F64" s="8"/>
      <c r="G64" s="52" t="s">
        <v>9</v>
      </c>
      <c r="H64" s="53" t="s">
        <v>12</v>
      </c>
      <c r="I64" s="53" t="s">
        <v>12</v>
      </c>
      <c r="J64" s="53">
        <v>8</v>
      </c>
      <c r="K64" s="53" t="s">
        <v>12</v>
      </c>
      <c r="L64" s="53" t="s">
        <v>12</v>
      </c>
      <c r="M64" s="53" t="s">
        <v>12</v>
      </c>
      <c r="N64" s="53" t="s">
        <v>12</v>
      </c>
      <c r="O64" s="53">
        <v>8</v>
      </c>
    </row>
    <row r="65" spans="1:15" x14ac:dyDescent="0.25">
      <c r="A65" s="5"/>
      <c r="B65" s="5"/>
      <c r="C65" s="8"/>
      <c r="D65" s="13"/>
      <c r="E65" s="8"/>
      <c r="F65" s="8"/>
      <c r="G65" s="52" t="s">
        <v>10</v>
      </c>
      <c r="H65" s="53" t="s">
        <v>12</v>
      </c>
      <c r="I65" s="53" t="s">
        <v>12</v>
      </c>
      <c r="J65" s="53">
        <v>2</v>
      </c>
      <c r="K65" s="53" t="s">
        <v>12</v>
      </c>
      <c r="L65" s="53" t="s">
        <v>12</v>
      </c>
      <c r="M65" s="53">
        <v>6</v>
      </c>
      <c r="N65" s="53" t="s">
        <v>12</v>
      </c>
      <c r="O65" s="53">
        <v>8</v>
      </c>
    </row>
    <row r="66" spans="1:15" x14ac:dyDescent="0.25">
      <c r="A66" s="5"/>
      <c r="B66" s="5"/>
      <c r="C66" s="8"/>
      <c r="D66" s="13"/>
      <c r="E66" s="8"/>
      <c r="F66" s="8"/>
      <c r="G66" s="52" t="s">
        <v>7</v>
      </c>
      <c r="H66" s="53" t="s">
        <v>12</v>
      </c>
      <c r="I66" s="53" t="s">
        <v>12</v>
      </c>
      <c r="J66" s="53" t="s">
        <v>12</v>
      </c>
      <c r="K66" s="53" t="s">
        <v>12</v>
      </c>
      <c r="L66" s="53" t="s">
        <v>12</v>
      </c>
      <c r="M66" s="53" t="s">
        <v>12</v>
      </c>
      <c r="N66" s="53">
        <v>14.5</v>
      </c>
      <c r="O66" s="53">
        <v>14.5</v>
      </c>
    </row>
    <row r="67" spans="1:15" x14ac:dyDescent="0.25">
      <c r="A67" s="5"/>
      <c r="B67" s="5"/>
      <c r="C67" s="8"/>
      <c r="D67" s="13"/>
      <c r="E67" s="8"/>
      <c r="F67" s="8"/>
      <c r="G67" s="51" t="s">
        <v>75</v>
      </c>
      <c r="H67" s="53"/>
      <c r="I67" s="53"/>
      <c r="J67" s="53"/>
      <c r="K67" s="53"/>
      <c r="L67" s="53"/>
      <c r="M67" s="53"/>
      <c r="N67" s="53"/>
      <c r="O67" s="53"/>
    </row>
    <row r="68" spans="1:15" x14ac:dyDescent="0.25">
      <c r="A68" s="5"/>
      <c r="B68" s="5"/>
      <c r="C68" s="8"/>
      <c r="D68" s="13"/>
      <c r="E68" s="8"/>
      <c r="F68" s="8"/>
      <c r="G68" s="52" t="s">
        <v>9</v>
      </c>
      <c r="H68" s="53">
        <v>8</v>
      </c>
      <c r="I68" s="53">
        <v>8</v>
      </c>
      <c r="J68" s="53">
        <v>8</v>
      </c>
      <c r="K68" s="53">
        <v>8</v>
      </c>
      <c r="L68" s="53">
        <v>8</v>
      </c>
      <c r="M68" s="53" t="s">
        <v>12</v>
      </c>
      <c r="N68" s="53" t="s">
        <v>12</v>
      </c>
      <c r="O68" s="53">
        <v>40</v>
      </c>
    </row>
    <row r="69" spans="1:15" x14ac:dyDescent="0.25">
      <c r="A69" s="5"/>
      <c r="B69" s="5"/>
      <c r="C69" s="8"/>
      <c r="D69" s="13"/>
      <c r="E69" s="8"/>
      <c r="F69" s="8"/>
      <c r="G69" s="52" t="s">
        <v>10</v>
      </c>
      <c r="H69" s="53">
        <v>4</v>
      </c>
      <c r="I69" s="53">
        <v>3.5</v>
      </c>
      <c r="J69" s="53">
        <v>0.5</v>
      </c>
      <c r="K69" s="53">
        <v>1</v>
      </c>
      <c r="L69" s="53" t="s">
        <v>12</v>
      </c>
      <c r="M69" s="53" t="s">
        <v>12</v>
      </c>
      <c r="N69" s="53" t="s">
        <v>12</v>
      </c>
      <c r="O69" s="53">
        <v>9</v>
      </c>
    </row>
    <row r="70" spans="1:15" x14ac:dyDescent="0.25">
      <c r="A70" s="5"/>
      <c r="B70" s="5"/>
      <c r="C70" s="8"/>
      <c r="D70" s="13"/>
      <c r="E70" s="8"/>
      <c r="F70" s="8"/>
      <c r="G70" s="52" t="s">
        <v>7</v>
      </c>
      <c r="H70" s="53">
        <v>1</v>
      </c>
      <c r="I70" s="53" t="s">
        <v>12</v>
      </c>
      <c r="J70" s="53" t="s">
        <v>12</v>
      </c>
      <c r="K70" s="53" t="s">
        <v>12</v>
      </c>
      <c r="L70" s="53" t="s">
        <v>12</v>
      </c>
      <c r="M70" s="53" t="s">
        <v>12</v>
      </c>
      <c r="N70" s="53" t="s">
        <v>12</v>
      </c>
      <c r="O70" s="53">
        <v>1</v>
      </c>
    </row>
    <row r="71" spans="1:15" x14ac:dyDescent="0.25">
      <c r="A71" s="5"/>
      <c r="B71" s="5"/>
      <c r="C71" s="8"/>
      <c r="D71" s="13"/>
      <c r="E71" s="8"/>
      <c r="F71" s="8"/>
      <c r="G71" s="51" t="s">
        <v>25</v>
      </c>
      <c r="H71" s="53">
        <v>201</v>
      </c>
      <c r="I71" s="53">
        <v>186.5</v>
      </c>
      <c r="J71" s="53">
        <v>188</v>
      </c>
      <c r="K71" s="53">
        <v>184</v>
      </c>
      <c r="L71" s="53">
        <v>138.5</v>
      </c>
      <c r="M71" s="53">
        <v>18</v>
      </c>
      <c r="N71" s="53">
        <v>29</v>
      </c>
      <c r="O71" s="53">
        <v>945</v>
      </c>
    </row>
    <row r="72" spans="1:15" x14ac:dyDescent="0.25">
      <c r="A72" s="5"/>
      <c r="B72" s="5"/>
      <c r="C72" s="8"/>
      <c r="D72" s="13"/>
      <c r="E72" s="8"/>
      <c r="F72" s="8"/>
    </row>
    <row r="73" spans="1:15" x14ac:dyDescent="0.25">
      <c r="A73" s="5"/>
      <c r="B73" s="5"/>
      <c r="C73" s="8"/>
      <c r="D73" s="13"/>
      <c r="E73" s="8"/>
      <c r="F73" s="8"/>
    </row>
    <row r="74" spans="1:15" x14ac:dyDescent="0.25">
      <c r="A74" s="5"/>
      <c r="B74" s="5"/>
      <c r="C74" s="8"/>
      <c r="D74" s="13"/>
      <c r="E74" s="8"/>
      <c r="F74" s="8"/>
    </row>
    <row r="75" spans="1:15" x14ac:dyDescent="0.25">
      <c r="A75" s="5"/>
      <c r="B75" s="5"/>
      <c r="C75" s="8"/>
      <c r="D75" s="13"/>
      <c r="E75" s="8"/>
      <c r="F75" s="8"/>
    </row>
    <row r="76" spans="1:15" x14ac:dyDescent="0.25">
      <c r="A76" s="5"/>
      <c r="B76" s="5"/>
      <c r="C76" s="8"/>
      <c r="D76" s="13"/>
      <c r="E76" s="8"/>
      <c r="F76" s="8"/>
    </row>
    <row r="77" spans="1:15" x14ac:dyDescent="0.25">
      <c r="A77" s="5"/>
      <c r="B77" s="5"/>
      <c r="C77" s="8"/>
      <c r="D77" s="13"/>
      <c r="E77" s="8"/>
      <c r="F77" s="8"/>
    </row>
    <row r="78" spans="1:15" x14ac:dyDescent="0.25">
      <c r="A78" s="5"/>
      <c r="B78" s="5"/>
      <c r="C78" s="8"/>
      <c r="D78" s="13"/>
      <c r="E78" s="8"/>
      <c r="F78" s="8"/>
    </row>
    <row r="79" spans="1:15" x14ac:dyDescent="0.25">
      <c r="A79" s="5"/>
      <c r="B79" s="5"/>
      <c r="C79" s="8"/>
      <c r="D79" s="13"/>
      <c r="E79" s="8"/>
      <c r="F79" s="8"/>
    </row>
    <row r="80" spans="1:15" x14ac:dyDescent="0.25">
      <c r="A80" s="5"/>
      <c r="B80" s="5"/>
      <c r="C80" s="8"/>
      <c r="D80" s="13"/>
      <c r="E80" s="8"/>
      <c r="F80" s="8"/>
    </row>
    <row r="81" spans="1:6" x14ac:dyDescent="0.25">
      <c r="A81" s="5"/>
      <c r="B81" s="5"/>
      <c r="C81" s="8"/>
      <c r="D81" s="13"/>
      <c r="E81" s="8"/>
      <c r="F81" s="8"/>
    </row>
    <row r="82" spans="1:6" x14ac:dyDescent="0.25">
      <c r="A82" s="5"/>
      <c r="B82" s="5"/>
      <c r="C82" s="8"/>
      <c r="D82" s="13"/>
      <c r="E82" s="8"/>
      <c r="F82" s="8"/>
    </row>
    <row r="83" spans="1:6" x14ac:dyDescent="0.25">
      <c r="A83" s="5"/>
      <c r="B83" s="5"/>
      <c r="C83" s="8"/>
      <c r="D83" s="13"/>
      <c r="E83" s="8"/>
      <c r="F83" s="8"/>
    </row>
    <row r="84" spans="1:6" x14ac:dyDescent="0.25">
      <c r="A84" s="5"/>
      <c r="B84" s="5"/>
      <c r="C84" s="8"/>
      <c r="D84" s="13"/>
      <c r="E84" s="8"/>
      <c r="F84" s="8"/>
    </row>
    <row r="85" spans="1:6" x14ac:dyDescent="0.25">
      <c r="A85" s="5"/>
      <c r="B85" s="5"/>
      <c r="C85" s="8"/>
      <c r="D85" s="13"/>
      <c r="E85" s="8"/>
      <c r="F85" s="8"/>
    </row>
    <row r="86" spans="1:6" x14ac:dyDescent="0.25">
      <c r="A86" s="5"/>
      <c r="B86" s="5"/>
      <c r="C86" s="8"/>
      <c r="D86" s="13"/>
      <c r="E86" s="8"/>
      <c r="F86" s="8"/>
    </row>
    <row r="87" spans="1:6" x14ac:dyDescent="0.25">
      <c r="A87" s="5"/>
      <c r="B87" s="5"/>
      <c r="C87" s="8"/>
      <c r="D87" s="13"/>
      <c r="E87" s="8"/>
      <c r="F87" s="8"/>
    </row>
    <row r="88" spans="1:6" x14ac:dyDescent="0.25">
      <c r="A88" s="5"/>
      <c r="B88" s="5"/>
      <c r="C88" s="8"/>
      <c r="D88" s="13"/>
      <c r="E88" s="8"/>
      <c r="F88" s="8"/>
    </row>
    <row r="89" spans="1:6" x14ac:dyDescent="0.25">
      <c r="A89" s="5"/>
      <c r="B89" s="5"/>
      <c r="C89" s="8"/>
      <c r="D89" s="13"/>
      <c r="E89" s="8"/>
      <c r="F89" s="8"/>
    </row>
    <row r="90" spans="1:6" x14ac:dyDescent="0.25">
      <c r="A90" s="5"/>
      <c r="B90" s="5"/>
      <c r="C90" s="8"/>
      <c r="D90" s="13"/>
      <c r="E90" s="8"/>
      <c r="F90" s="8"/>
    </row>
    <row r="91" spans="1:6" x14ac:dyDescent="0.25">
      <c r="A91" s="5"/>
      <c r="B91" s="5"/>
      <c r="C91" s="8"/>
      <c r="D91" s="13"/>
      <c r="E91" s="8"/>
      <c r="F91" s="8"/>
    </row>
    <row r="92" spans="1:6" x14ac:dyDescent="0.25">
      <c r="A92" s="5"/>
      <c r="B92" s="5"/>
      <c r="C92" s="8"/>
      <c r="D92" s="13"/>
      <c r="E92" s="8"/>
      <c r="F92" s="8"/>
    </row>
    <row r="93" spans="1:6" x14ac:dyDescent="0.25">
      <c r="A93" s="5"/>
      <c r="B93" s="5"/>
      <c r="C93" s="8"/>
      <c r="D93" s="13"/>
      <c r="E93" s="8"/>
      <c r="F93" s="8"/>
    </row>
    <row r="94" spans="1:6" x14ac:dyDescent="0.25">
      <c r="A94" s="5"/>
      <c r="B94" s="5"/>
      <c r="C94" s="8"/>
      <c r="D94" s="13"/>
      <c r="E94" s="8"/>
      <c r="F94" s="8"/>
    </row>
    <row r="95" spans="1:6" x14ac:dyDescent="0.25">
      <c r="A95" s="5"/>
      <c r="B95" s="5"/>
      <c r="C95" s="8"/>
      <c r="D95" s="13"/>
      <c r="E95" s="8"/>
      <c r="F95" s="8"/>
    </row>
    <row r="96" spans="1:6" x14ac:dyDescent="0.25">
      <c r="A96" s="5"/>
      <c r="B96" s="5"/>
      <c r="C96" s="8"/>
      <c r="D96" s="13"/>
      <c r="E96" s="8"/>
      <c r="F96" s="8"/>
    </row>
    <row r="97" spans="1:6" x14ac:dyDescent="0.25">
      <c r="A97" s="5"/>
      <c r="B97" s="5"/>
      <c r="C97" s="8"/>
      <c r="D97" s="13"/>
      <c r="E97" s="8"/>
      <c r="F97" s="8"/>
    </row>
    <row r="98" spans="1:6" x14ac:dyDescent="0.25">
      <c r="A98" s="5"/>
      <c r="B98" s="5"/>
      <c r="C98" s="8"/>
      <c r="D98" s="13"/>
      <c r="E98" s="8"/>
      <c r="F98" s="8"/>
    </row>
    <row r="99" spans="1:6" x14ac:dyDescent="0.25">
      <c r="A99" s="5"/>
      <c r="B99" s="5"/>
      <c r="C99" s="8"/>
      <c r="D99" s="13"/>
      <c r="E99" s="8"/>
      <c r="F99" s="8"/>
    </row>
    <row r="100" spans="1:6" x14ac:dyDescent="0.25">
      <c r="A100" s="5"/>
      <c r="B100" s="5"/>
      <c r="C100" s="8"/>
      <c r="D100" s="13"/>
      <c r="E100" s="8"/>
      <c r="F100" s="8"/>
    </row>
    <row r="101" spans="1:6" x14ac:dyDescent="0.25">
      <c r="A101" s="5"/>
      <c r="B101" s="5"/>
      <c r="C101" s="8"/>
      <c r="D101" s="13"/>
      <c r="E101" s="8"/>
      <c r="F101" s="8"/>
    </row>
    <row r="102" spans="1:6" x14ac:dyDescent="0.25">
      <c r="A102" s="5"/>
      <c r="B102" s="5"/>
      <c r="C102" s="8"/>
      <c r="D102" s="13"/>
      <c r="E102" s="8"/>
      <c r="F102" s="8"/>
    </row>
    <row r="103" spans="1:6" x14ac:dyDescent="0.25">
      <c r="A103" s="5"/>
      <c r="B103" s="5"/>
      <c r="C103" s="8"/>
      <c r="D103" s="13"/>
      <c r="E103" s="8"/>
      <c r="F103" s="8"/>
    </row>
    <row r="104" spans="1:6" x14ac:dyDescent="0.25">
      <c r="A104" s="5"/>
      <c r="B104" s="5"/>
      <c r="C104" s="8"/>
      <c r="D104" s="13"/>
      <c r="E104" s="8"/>
      <c r="F104" s="8"/>
    </row>
    <row r="105" spans="1:6" x14ac:dyDescent="0.25">
      <c r="A105" s="5"/>
      <c r="B105" s="5"/>
      <c r="C105" s="8"/>
      <c r="D105" s="13"/>
      <c r="E105" s="8"/>
      <c r="F105" s="8"/>
    </row>
    <row r="106" spans="1:6" x14ac:dyDescent="0.25">
      <c r="A106" s="5"/>
      <c r="B106" s="5"/>
      <c r="C106" s="8"/>
      <c r="D106" s="13"/>
      <c r="E106" s="8"/>
      <c r="F106" s="8"/>
    </row>
    <row r="107" spans="1:6" x14ac:dyDescent="0.25">
      <c r="A107" s="5"/>
      <c r="B107" s="5"/>
      <c r="C107" s="8"/>
      <c r="D107" s="13"/>
      <c r="E107" s="8"/>
      <c r="F107" s="8"/>
    </row>
    <row r="108" spans="1:6" x14ac:dyDescent="0.25">
      <c r="A108" s="5"/>
      <c r="B108" s="5"/>
      <c r="C108" s="8"/>
      <c r="D108" s="13"/>
      <c r="E108" s="8"/>
      <c r="F108" s="8"/>
    </row>
    <row r="109" spans="1:6" x14ac:dyDescent="0.25">
      <c r="A109" s="5"/>
      <c r="B109" s="5"/>
      <c r="C109" s="8"/>
      <c r="D109" s="13"/>
      <c r="E109" s="8"/>
      <c r="F109" s="8"/>
    </row>
    <row r="110" spans="1:6" x14ac:dyDescent="0.25">
      <c r="A110" s="5"/>
      <c r="B110" s="5"/>
      <c r="C110" s="8"/>
      <c r="D110" s="13"/>
      <c r="E110" s="8"/>
      <c r="F110" s="8"/>
    </row>
    <row r="111" spans="1:6" x14ac:dyDescent="0.25">
      <c r="A111" s="6"/>
      <c r="B111" s="6"/>
      <c r="C111" s="9"/>
      <c r="D111" s="14"/>
      <c r="E111" s="9"/>
      <c r="F111" s="9"/>
    </row>
  </sheetData>
  <protectedRanges>
    <protectedRange sqref="F38 D36 E37" name="Range1"/>
  </protectedRanges>
  <mergeCells count="2">
    <mergeCell ref="B10:E10"/>
    <mergeCell ref="A1:E9"/>
  </mergeCells>
  <pageMargins left="0.7" right="0.7" top="0.75" bottom="0.75" header="0.3" footer="0.3"/>
  <pageSetup orientation="portrait" r:id="rId2"/>
  <drawing r:id="rId3"/>
  <legacy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
  <sheetViews>
    <sheetView showZeros="0" zoomScale="115" zoomScaleNormal="115" workbookViewId="0">
      <pane ySplit="1" topLeftCell="A2" activePane="bottomLeft" state="frozen"/>
      <selection pane="bottomLeft" activeCell="L2" sqref="L2"/>
    </sheetView>
  </sheetViews>
  <sheetFormatPr defaultColWidth="8.85546875" defaultRowHeight="15" x14ac:dyDescent="0.25"/>
  <cols>
    <col min="1" max="1" width="15" style="30" bestFit="1" customWidth="1"/>
    <col min="2" max="2" width="10.28515625" style="31" customWidth="1"/>
    <col min="3" max="3" width="16.7109375" style="32" bestFit="1" customWidth="1"/>
    <col min="4" max="4" width="10.7109375" style="56" bestFit="1" customWidth="1"/>
    <col min="5" max="5" width="10.140625" style="39" bestFit="1" customWidth="1"/>
    <col min="6" max="6" width="8.7109375" style="34" bestFit="1" customWidth="1"/>
    <col min="7" max="7" width="22.28515625" style="33" bestFit="1" customWidth="1"/>
    <col min="8" max="8" width="9" style="35" bestFit="1" customWidth="1"/>
    <col min="9" max="9" width="8.85546875" style="37" hidden="1" customWidth="1"/>
    <col min="10" max="10" width="9.7109375" style="37" hidden="1" customWidth="1"/>
    <col min="11" max="16384" width="8.85546875" style="1"/>
  </cols>
  <sheetData>
    <row r="1" spans="1:10" customFormat="1" x14ac:dyDescent="0.25">
      <c r="A1" s="22" t="s">
        <v>17</v>
      </c>
      <c r="B1" s="22" t="s">
        <v>5</v>
      </c>
      <c r="C1" s="22" t="s">
        <v>16</v>
      </c>
      <c r="D1" s="19" t="s">
        <v>0</v>
      </c>
      <c r="E1" s="19" t="s">
        <v>1</v>
      </c>
      <c r="F1" s="22" t="s">
        <v>2</v>
      </c>
      <c r="G1" s="22" t="s">
        <v>3</v>
      </c>
      <c r="H1" s="20" t="s">
        <v>18</v>
      </c>
      <c r="I1" s="36" t="s">
        <v>14</v>
      </c>
      <c r="J1" s="36" t="s">
        <v>13</v>
      </c>
    </row>
    <row r="2" spans="1:10" x14ac:dyDescent="0.25">
      <c r="A2" s="25">
        <v>106950001</v>
      </c>
      <c r="B2" s="26">
        <v>1480</v>
      </c>
      <c r="C2" s="40" t="s">
        <v>21</v>
      </c>
      <c r="D2" s="54">
        <v>43136</v>
      </c>
      <c r="E2" s="38" t="s">
        <v>9</v>
      </c>
      <c r="F2" s="28">
        <v>8</v>
      </c>
      <c r="G2" s="58" t="s">
        <v>53</v>
      </c>
      <c r="H2" s="29" t="s">
        <v>8</v>
      </c>
      <c r="I2" s="37">
        <f t="shared" ref="I2:I51" si="0">WEEKDAY(D2,2)</f>
        <v>1</v>
      </c>
      <c r="J2" s="37" t="str">
        <f t="shared" ref="J2:J65" si="1">TEXT(IF(I2= 1,D2+6, IF(I2= 2, D2+5, IF(I2= 3,D2+4, IF(I2= 4, D2+3, IF(I2= 5, D2+2, IF(I2= 6, D2+1, IF(I2=7,D2+0))))))),"mm/dd")</f>
        <v>02/11</v>
      </c>
    </row>
    <row r="3" spans="1:10" x14ac:dyDescent="0.25">
      <c r="A3" s="25">
        <v>106950001</v>
      </c>
      <c r="B3" s="26">
        <v>1480</v>
      </c>
      <c r="C3" s="40" t="s">
        <v>21</v>
      </c>
      <c r="D3" s="54">
        <v>43136</v>
      </c>
      <c r="E3" s="38" t="s">
        <v>10</v>
      </c>
      <c r="F3" s="28">
        <v>4</v>
      </c>
      <c r="G3" s="58" t="s">
        <v>53</v>
      </c>
      <c r="H3" s="29" t="s">
        <v>8</v>
      </c>
      <c r="I3" s="37">
        <f t="shared" si="0"/>
        <v>1</v>
      </c>
      <c r="J3" s="37" t="str">
        <f t="shared" si="1"/>
        <v>02/11</v>
      </c>
    </row>
    <row r="4" spans="1:10" x14ac:dyDescent="0.25">
      <c r="A4" s="25">
        <v>132170001</v>
      </c>
      <c r="B4" s="26">
        <v>1122</v>
      </c>
      <c r="C4" s="40" t="s">
        <v>22</v>
      </c>
      <c r="D4" s="54">
        <v>43136</v>
      </c>
      <c r="E4" s="38" t="s">
        <v>9</v>
      </c>
      <c r="F4" s="28">
        <v>8</v>
      </c>
      <c r="G4" s="58" t="s">
        <v>54</v>
      </c>
      <c r="H4" s="29">
        <v>2</v>
      </c>
      <c r="I4" s="37">
        <f t="shared" si="0"/>
        <v>1</v>
      </c>
      <c r="J4" s="37" t="str">
        <f t="shared" si="1"/>
        <v>02/11</v>
      </c>
    </row>
    <row r="5" spans="1:10" x14ac:dyDescent="0.25">
      <c r="A5" s="25">
        <v>132170001</v>
      </c>
      <c r="B5" s="26">
        <v>1209</v>
      </c>
      <c r="C5" s="40" t="s">
        <v>19</v>
      </c>
      <c r="D5" s="54">
        <v>43136</v>
      </c>
      <c r="E5" s="38" t="s">
        <v>9</v>
      </c>
      <c r="F5" s="28">
        <v>8</v>
      </c>
      <c r="G5" s="58" t="s">
        <v>55</v>
      </c>
      <c r="H5" s="29" t="s">
        <v>8</v>
      </c>
      <c r="I5" s="37">
        <f t="shared" si="0"/>
        <v>1</v>
      </c>
      <c r="J5" s="37" t="str">
        <f t="shared" si="1"/>
        <v>02/11</v>
      </c>
    </row>
    <row r="6" spans="1:10" x14ac:dyDescent="0.25">
      <c r="A6" s="25">
        <v>132170001</v>
      </c>
      <c r="B6" s="26">
        <v>1360</v>
      </c>
      <c r="C6" s="24" t="s">
        <v>24</v>
      </c>
      <c r="D6" s="54">
        <v>43136</v>
      </c>
      <c r="E6" s="38" t="s">
        <v>9</v>
      </c>
      <c r="F6" s="28">
        <v>8</v>
      </c>
      <c r="G6" s="58" t="s">
        <v>56</v>
      </c>
      <c r="H6" s="29">
        <v>4</v>
      </c>
      <c r="I6" s="37">
        <f t="shared" si="0"/>
        <v>1</v>
      </c>
      <c r="J6" s="37" t="str">
        <f t="shared" si="1"/>
        <v>02/11</v>
      </c>
    </row>
    <row r="7" spans="1:10" x14ac:dyDescent="0.25">
      <c r="A7" s="25">
        <v>132170001</v>
      </c>
      <c r="B7" s="26">
        <v>1082</v>
      </c>
      <c r="C7" s="24" t="s">
        <v>19</v>
      </c>
      <c r="D7" s="54">
        <v>43136</v>
      </c>
      <c r="E7" s="38" t="s">
        <v>9</v>
      </c>
      <c r="F7" s="28">
        <v>8</v>
      </c>
      <c r="G7" s="58" t="s">
        <v>57</v>
      </c>
      <c r="H7" s="29" t="s">
        <v>8</v>
      </c>
      <c r="I7" s="37">
        <f t="shared" si="0"/>
        <v>1</v>
      </c>
      <c r="J7" s="37" t="str">
        <f t="shared" si="1"/>
        <v>02/11</v>
      </c>
    </row>
    <row r="8" spans="1:10" x14ac:dyDescent="0.25">
      <c r="A8" s="25">
        <v>132170001</v>
      </c>
      <c r="B8" s="26">
        <v>996</v>
      </c>
      <c r="C8" s="24" t="s">
        <v>21</v>
      </c>
      <c r="D8" s="54">
        <v>43136</v>
      </c>
      <c r="E8" s="38" t="s">
        <v>9</v>
      </c>
      <c r="F8" s="28">
        <v>8</v>
      </c>
      <c r="G8" s="58" t="s">
        <v>58</v>
      </c>
      <c r="H8" s="23" t="s">
        <v>8</v>
      </c>
      <c r="I8" s="37">
        <f t="shared" si="0"/>
        <v>1</v>
      </c>
      <c r="J8" s="37" t="str">
        <f t="shared" si="1"/>
        <v>02/11</v>
      </c>
    </row>
    <row r="9" spans="1:10" x14ac:dyDescent="0.25">
      <c r="A9" s="25">
        <v>132170001</v>
      </c>
      <c r="B9" s="26">
        <v>1035</v>
      </c>
      <c r="C9" s="40" t="s">
        <v>23</v>
      </c>
      <c r="D9" s="54">
        <v>43136</v>
      </c>
      <c r="E9" s="38" t="s">
        <v>9</v>
      </c>
      <c r="F9" s="28">
        <v>8</v>
      </c>
      <c r="G9" s="58" t="s">
        <v>59</v>
      </c>
      <c r="H9" s="23" t="s">
        <v>8</v>
      </c>
      <c r="I9" s="37">
        <f t="shared" si="0"/>
        <v>1</v>
      </c>
      <c r="J9" s="37" t="str">
        <f t="shared" si="1"/>
        <v>02/11</v>
      </c>
    </row>
    <row r="10" spans="1:10" x14ac:dyDescent="0.25">
      <c r="A10" s="25">
        <v>132170001</v>
      </c>
      <c r="B10" s="26">
        <v>1309</v>
      </c>
      <c r="C10" s="40" t="s">
        <v>20</v>
      </c>
      <c r="D10" s="54">
        <v>43136</v>
      </c>
      <c r="E10" s="38" t="s">
        <v>9</v>
      </c>
      <c r="F10" s="28">
        <v>8</v>
      </c>
      <c r="G10" s="58" t="s">
        <v>60</v>
      </c>
      <c r="H10" s="23" t="s">
        <v>8</v>
      </c>
      <c r="I10" s="37">
        <f t="shared" si="0"/>
        <v>1</v>
      </c>
      <c r="J10" s="37" t="str">
        <f t="shared" si="1"/>
        <v>02/11</v>
      </c>
    </row>
    <row r="11" spans="1:10" x14ac:dyDescent="0.25">
      <c r="A11" s="25">
        <v>127990001</v>
      </c>
      <c r="B11" s="26">
        <v>1007</v>
      </c>
      <c r="C11" s="24" t="s">
        <v>19</v>
      </c>
      <c r="D11" s="54">
        <v>43136</v>
      </c>
      <c r="E11" s="38" t="s">
        <v>9</v>
      </c>
      <c r="F11" s="28">
        <v>2</v>
      </c>
      <c r="G11" s="58" t="s">
        <v>61</v>
      </c>
      <c r="H11" s="23" t="s">
        <v>8</v>
      </c>
      <c r="I11" s="37">
        <f t="shared" si="0"/>
        <v>1</v>
      </c>
      <c r="J11" s="37" t="str">
        <f t="shared" si="1"/>
        <v>02/11</v>
      </c>
    </row>
    <row r="12" spans="1:10" x14ac:dyDescent="0.25">
      <c r="A12" s="25">
        <v>51150001</v>
      </c>
      <c r="B12" s="26">
        <v>1007</v>
      </c>
      <c r="C12" s="24" t="s">
        <v>19</v>
      </c>
      <c r="D12" s="54">
        <v>43136</v>
      </c>
      <c r="E12" s="38" t="s">
        <v>9</v>
      </c>
      <c r="F12" s="28">
        <v>1</v>
      </c>
      <c r="G12" s="58" t="s">
        <v>61</v>
      </c>
      <c r="H12" s="23" t="s">
        <v>8</v>
      </c>
      <c r="I12" s="37">
        <f t="shared" si="0"/>
        <v>1</v>
      </c>
      <c r="J12" s="37" t="str">
        <f t="shared" si="1"/>
        <v>02/11</v>
      </c>
    </row>
    <row r="13" spans="1:10" x14ac:dyDescent="0.25">
      <c r="A13" s="25">
        <v>50360001</v>
      </c>
      <c r="B13" s="26">
        <v>1007</v>
      </c>
      <c r="C13" s="24" t="s">
        <v>19</v>
      </c>
      <c r="D13" s="54">
        <v>43136</v>
      </c>
      <c r="E13" s="38" t="s">
        <v>9</v>
      </c>
      <c r="F13" s="28">
        <v>1</v>
      </c>
      <c r="G13" s="58" t="s">
        <v>61</v>
      </c>
      <c r="H13" s="23" t="s">
        <v>8</v>
      </c>
      <c r="I13" s="37">
        <f t="shared" si="0"/>
        <v>1</v>
      </c>
      <c r="J13" s="37" t="str">
        <f t="shared" si="1"/>
        <v>02/11</v>
      </c>
    </row>
    <row r="14" spans="1:10" x14ac:dyDescent="0.25">
      <c r="A14" s="25">
        <v>130340001</v>
      </c>
      <c r="B14" s="26">
        <v>1007</v>
      </c>
      <c r="C14" s="24" t="s">
        <v>19</v>
      </c>
      <c r="D14" s="54">
        <v>43136</v>
      </c>
      <c r="E14" s="38" t="s">
        <v>9</v>
      </c>
      <c r="F14" s="28">
        <v>1</v>
      </c>
      <c r="G14" s="58" t="s">
        <v>61</v>
      </c>
      <c r="H14" s="23" t="s">
        <v>8</v>
      </c>
      <c r="I14" s="37">
        <f t="shared" si="0"/>
        <v>1</v>
      </c>
      <c r="J14" s="37" t="str">
        <f t="shared" si="1"/>
        <v>02/11</v>
      </c>
    </row>
    <row r="15" spans="1:10" x14ac:dyDescent="0.25">
      <c r="A15" s="25">
        <v>132490001</v>
      </c>
      <c r="B15" s="26">
        <v>1007</v>
      </c>
      <c r="C15" s="24" t="s">
        <v>19</v>
      </c>
      <c r="D15" s="54">
        <v>43136</v>
      </c>
      <c r="E15" s="38" t="s">
        <v>9</v>
      </c>
      <c r="F15" s="28">
        <v>1</v>
      </c>
      <c r="G15" s="58" t="s">
        <v>61</v>
      </c>
      <c r="H15" s="23" t="s">
        <v>8</v>
      </c>
      <c r="I15" s="37">
        <f t="shared" si="0"/>
        <v>1</v>
      </c>
      <c r="J15" s="37" t="str">
        <f t="shared" si="1"/>
        <v>02/11</v>
      </c>
    </row>
    <row r="16" spans="1:10" x14ac:dyDescent="0.25">
      <c r="A16" s="25">
        <v>133980001</v>
      </c>
      <c r="B16" s="26">
        <v>1007</v>
      </c>
      <c r="C16" s="24" t="s">
        <v>19</v>
      </c>
      <c r="D16" s="54">
        <v>43136</v>
      </c>
      <c r="E16" s="38" t="s">
        <v>9</v>
      </c>
      <c r="F16" s="28">
        <v>2</v>
      </c>
      <c r="G16" s="58" t="s">
        <v>61</v>
      </c>
      <c r="H16" s="23" t="s">
        <v>8</v>
      </c>
      <c r="I16" s="37">
        <f t="shared" si="0"/>
        <v>1</v>
      </c>
      <c r="J16" s="37" t="str">
        <f t="shared" si="1"/>
        <v>02/11</v>
      </c>
    </row>
    <row r="17" spans="1:10" x14ac:dyDescent="0.25">
      <c r="A17" s="25">
        <v>50360001</v>
      </c>
      <c r="B17" s="26">
        <v>1032</v>
      </c>
      <c r="C17" s="24" t="s">
        <v>21</v>
      </c>
      <c r="D17" s="54">
        <v>43136</v>
      </c>
      <c r="E17" s="38" t="s">
        <v>9</v>
      </c>
      <c r="F17" s="28">
        <v>8</v>
      </c>
      <c r="G17" s="58" t="s">
        <v>62</v>
      </c>
      <c r="H17" s="23" t="s">
        <v>8</v>
      </c>
      <c r="I17" s="37">
        <f t="shared" si="0"/>
        <v>1</v>
      </c>
      <c r="J17" s="37" t="str">
        <f t="shared" si="1"/>
        <v>02/11</v>
      </c>
    </row>
    <row r="18" spans="1:10" x14ac:dyDescent="0.25">
      <c r="A18" s="25">
        <v>132490001</v>
      </c>
      <c r="B18" s="26">
        <v>1047</v>
      </c>
      <c r="C18" s="24" t="s">
        <v>21</v>
      </c>
      <c r="D18" s="54">
        <v>43136</v>
      </c>
      <c r="E18" s="38" t="s">
        <v>9</v>
      </c>
      <c r="F18" s="28">
        <v>8</v>
      </c>
      <c r="G18" s="58" t="s">
        <v>63</v>
      </c>
      <c r="H18" s="23" t="s">
        <v>8</v>
      </c>
      <c r="I18" s="37">
        <f t="shared" si="0"/>
        <v>1</v>
      </c>
      <c r="J18" s="37" t="str">
        <f t="shared" si="1"/>
        <v>02/11</v>
      </c>
    </row>
    <row r="19" spans="1:10" x14ac:dyDescent="0.25">
      <c r="A19" s="25">
        <v>127990001</v>
      </c>
      <c r="B19" s="26">
        <v>1437</v>
      </c>
      <c r="C19" s="24" t="s">
        <v>21</v>
      </c>
      <c r="D19" s="54">
        <v>43136</v>
      </c>
      <c r="E19" s="38" t="s">
        <v>9</v>
      </c>
      <c r="F19" s="28">
        <v>4</v>
      </c>
      <c r="G19" s="58" t="s">
        <v>64</v>
      </c>
      <c r="H19" s="23" t="s">
        <v>8</v>
      </c>
      <c r="I19" s="37">
        <f t="shared" si="0"/>
        <v>1</v>
      </c>
      <c r="J19" s="37" t="str">
        <f t="shared" si="1"/>
        <v>02/11</v>
      </c>
    </row>
    <row r="20" spans="1:10" x14ac:dyDescent="0.25">
      <c r="A20" s="25">
        <v>51150001</v>
      </c>
      <c r="B20" s="26">
        <v>1437</v>
      </c>
      <c r="C20" s="24" t="s">
        <v>21</v>
      </c>
      <c r="D20" s="54">
        <v>43136</v>
      </c>
      <c r="E20" s="38" t="s">
        <v>9</v>
      </c>
      <c r="F20" s="28">
        <v>4</v>
      </c>
      <c r="G20" s="58" t="s">
        <v>64</v>
      </c>
      <c r="H20" s="23" t="s">
        <v>8</v>
      </c>
      <c r="I20" s="37">
        <f t="shared" si="0"/>
        <v>1</v>
      </c>
      <c r="J20" s="37" t="str">
        <f t="shared" si="1"/>
        <v>02/11</v>
      </c>
    </row>
    <row r="21" spans="1:10" x14ac:dyDescent="0.25">
      <c r="A21" s="25">
        <v>127990001</v>
      </c>
      <c r="B21" s="26">
        <v>1253</v>
      </c>
      <c r="C21" s="24" t="s">
        <v>21</v>
      </c>
      <c r="D21" s="54">
        <v>43136</v>
      </c>
      <c r="E21" s="38" t="s">
        <v>9</v>
      </c>
      <c r="F21" s="28">
        <v>1</v>
      </c>
      <c r="G21" s="58" t="s">
        <v>65</v>
      </c>
      <c r="H21" s="23" t="s">
        <v>8</v>
      </c>
      <c r="I21" s="37">
        <f t="shared" si="0"/>
        <v>1</v>
      </c>
      <c r="J21" s="37" t="str">
        <f t="shared" si="1"/>
        <v>02/11</v>
      </c>
    </row>
    <row r="22" spans="1:10" x14ac:dyDescent="0.25">
      <c r="A22" s="25">
        <v>51150001</v>
      </c>
      <c r="B22" s="26">
        <v>1253</v>
      </c>
      <c r="C22" s="24" t="s">
        <v>21</v>
      </c>
      <c r="D22" s="54">
        <v>43136</v>
      </c>
      <c r="E22" s="38" t="s">
        <v>9</v>
      </c>
      <c r="F22" s="28">
        <v>1</v>
      </c>
      <c r="G22" s="58" t="s">
        <v>65</v>
      </c>
      <c r="H22" s="23" t="s">
        <v>8</v>
      </c>
      <c r="I22" s="37">
        <f t="shared" si="0"/>
        <v>1</v>
      </c>
      <c r="J22" s="37" t="str">
        <f t="shared" si="1"/>
        <v>02/11</v>
      </c>
    </row>
    <row r="23" spans="1:10" x14ac:dyDescent="0.25">
      <c r="A23" s="25">
        <v>132490001</v>
      </c>
      <c r="B23" s="26">
        <v>1253</v>
      </c>
      <c r="C23" s="24" t="s">
        <v>21</v>
      </c>
      <c r="D23" s="54">
        <v>43136</v>
      </c>
      <c r="E23" s="38" t="s">
        <v>9</v>
      </c>
      <c r="F23" s="28">
        <v>6</v>
      </c>
      <c r="G23" s="58" t="s">
        <v>65</v>
      </c>
      <c r="H23" s="23" t="s">
        <v>8</v>
      </c>
      <c r="I23" s="37">
        <f t="shared" si="0"/>
        <v>1</v>
      </c>
      <c r="J23" s="37" t="str">
        <f t="shared" si="1"/>
        <v>02/11</v>
      </c>
    </row>
    <row r="24" spans="1:10" x14ac:dyDescent="0.25">
      <c r="A24" s="25">
        <v>127990001</v>
      </c>
      <c r="B24" s="26">
        <v>1247</v>
      </c>
      <c r="C24" s="24" t="s">
        <v>20</v>
      </c>
      <c r="D24" s="54">
        <v>43136</v>
      </c>
      <c r="E24" s="38" t="s">
        <v>9</v>
      </c>
      <c r="F24" s="28">
        <v>2</v>
      </c>
      <c r="G24" s="58" t="s">
        <v>66</v>
      </c>
      <c r="H24" s="23" t="s">
        <v>8</v>
      </c>
      <c r="I24" s="37">
        <f t="shared" si="0"/>
        <v>1</v>
      </c>
      <c r="J24" s="37" t="str">
        <f t="shared" si="1"/>
        <v>02/11</v>
      </c>
    </row>
    <row r="25" spans="1:10" x14ac:dyDescent="0.25">
      <c r="A25" s="25">
        <v>51150001</v>
      </c>
      <c r="B25" s="26">
        <v>1247</v>
      </c>
      <c r="C25" s="24" t="s">
        <v>20</v>
      </c>
      <c r="D25" s="54">
        <v>43136</v>
      </c>
      <c r="E25" s="38" t="s">
        <v>9</v>
      </c>
      <c r="F25" s="28">
        <v>1</v>
      </c>
      <c r="G25" s="58" t="s">
        <v>66</v>
      </c>
      <c r="H25" s="23" t="s">
        <v>8</v>
      </c>
      <c r="I25" s="37">
        <f t="shared" si="0"/>
        <v>1</v>
      </c>
      <c r="J25" s="37" t="str">
        <f t="shared" si="1"/>
        <v>02/11</v>
      </c>
    </row>
    <row r="26" spans="1:10" x14ac:dyDescent="0.25">
      <c r="A26" s="25">
        <v>130340001</v>
      </c>
      <c r="B26" s="26">
        <v>1247</v>
      </c>
      <c r="C26" s="24" t="s">
        <v>20</v>
      </c>
      <c r="D26" s="54">
        <v>43136</v>
      </c>
      <c r="E26" s="38" t="s">
        <v>9</v>
      </c>
      <c r="F26" s="28">
        <v>2</v>
      </c>
      <c r="G26" s="58" t="s">
        <v>66</v>
      </c>
      <c r="H26" s="23" t="s">
        <v>8</v>
      </c>
      <c r="I26" s="37">
        <f t="shared" si="0"/>
        <v>1</v>
      </c>
      <c r="J26" s="37" t="str">
        <f t="shared" si="1"/>
        <v>02/11</v>
      </c>
    </row>
    <row r="27" spans="1:10" x14ac:dyDescent="0.25">
      <c r="A27" s="25">
        <v>132490001</v>
      </c>
      <c r="B27" s="26">
        <v>1247</v>
      </c>
      <c r="C27" s="24" t="s">
        <v>20</v>
      </c>
      <c r="D27" s="54">
        <v>43136</v>
      </c>
      <c r="E27" s="38" t="s">
        <v>9</v>
      </c>
      <c r="F27" s="28">
        <v>3</v>
      </c>
      <c r="G27" s="58" t="s">
        <v>66</v>
      </c>
      <c r="H27" s="23" t="s">
        <v>8</v>
      </c>
      <c r="I27" s="37">
        <f t="shared" si="0"/>
        <v>1</v>
      </c>
      <c r="J27" s="37" t="str">
        <f t="shared" si="1"/>
        <v>02/11</v>
      </c>
    </row>
    <row r="28" spans="1:10" x14ac:dyDescent="0.25">
      <c r="A28" s="25">
        <v>132270001</v>
      </c>
      <c r="B28" s="26">
        <v>1025</v>
      </c>
      <c r="C28" s="24" t="s">
        <v>19</v>
      </c>
      <c r="D28" s="54">
        <v>43136</v>
      </c>
      <c r="E28" s="38" t="s">
        <v>9</v>
      </c>
      <c r="F28" s="28">
        <v>8</v>
      </c>
      <c r="G28" s="58" t="s">
        <v>67</v>
      </c>
      <c r="H28" s="29" t="s">
        <v>8</v>
      </c>
      <c r="I28" s="37">
        <f t="shared" si="0"/>
        <v>1</v>
      </c>
      <c r="J28" s="37" t="str">
        <f t="shared" si="1"/>
        <v>02/11</v>
      </c>
    </row>
    <row r="29" spans="1:10" x14ac:dyDescent="0.25">
      <c r="A29" s="25">
        <v>132270001</v>
      </c>
      <c r="B29" s="26">
        <v>1025</v>
      </c>
      <c r="C29" s="41" t="s">
        <v>19</v>
      </c>
      <c r="D29" s="54">
        <v>43136</v>
      </c>
      <c r="E29" s="38" t="s">
        <v>10</v>
      </c>
      <c r="F29" s="28">
        <v>1</v>
      </c>
      <c r="G29" s="58" t="s">
        <v>67</v>
      </c>
      <c r="H29" s="23" t="s">
        <v>8</v>
      </c>
      <c r="I29" s="37">
        <f t="shared" si="0"/>
        <v>1</v>
      </c>
      <c r="J29" s="37" t="str">
        <f t="shared" si="1"/>
        <v>02/11</v>
      </c>
    </row>
    <row r="30" spans="1:10" x14ac:dyDescent="0.25">
      <c r="A30" s="25">
        <v>132270001</v>
      </c>
      <c r="B30" s="26">
        <v>1027</v>
      </c>
      <c r="C30" s="41" t="s">
        <v>22</v>
      </c>
      <c r="D30" s="54">
        <v>43136</v>
      </c>
      <c r="E30" s="38" t="s">
        <v>9</v>
      </c>
      <c r="F30" s="28">
        <v>8</v>
      </c>
      <c r="G30" s="58" t="s">
        <v>68</v>
      </c>
      <c r="H30" s="23">
        <v>2</v>
      </c>
      <c r="I30" s="37">
        <f t="shared" si="0"/>
        <v>1</v>
      </c>
      <c r="J30" s="37" t="str">
        <f t="shared" si="1"/>
        <v>02/11</v>
      </c>
    </row>
    <row r="31" spans="1:10" x14ac:dyDescent="0.25">
      <c r="A31" s="25">
        <v>132270001</v>
      </c>
      <c r="B31" s="26">
        <v>1027</v>
      </c>
      <c r="C31" s="41" t="s">
        <v>22</v>
      </c>
      <c r="D31" s="54">
        <v>43136</v>
      </c>
      <c r="E31" s="38" t="s">
        <v>10</v>
      </c>
      <c r="F31" s="28">
        <v>0.5</v>
      </c>
      <c r="G31" s="58" t="s">
        <v>68</v>
      </c>
      <c r="H31" s="23">
        <v>2</v>
      </c>
      <c r="I31" s="37">
        <f t="shared" si="0"/>
        <v>1</v>
      </c>
      <c r="J31" s="37" t="str">
        <f t="shared" si="1"/>
        <v>02/11</v>
      </c>
    </row>
    <row r="32" spans="1:10" x14ac:dyDescent="0.25">
      <c r="A32" s="25">
        <v>132270001</v>
      </c>
      <c r="B32" s="26">
        <v>1121</v>
      </c>
      <c r="C32" s="41" t="s">
        <v>21</v>
      </c>
      <c r="D32" s="54">
        <v>43136</v>
      </c>
      <c r="E32" s="38" t="s">
        <v>9</v>
      </c>
      <c r="F32" s="28">
        <v>8</v>
      </c>
      <c r="G32" s="27" t="s">
        <v>69</v>
      </c>
      <c r="H32" s="23" t="s">
        <v>8</v>
      </c>
      <c r="I32" s="37">
        <f t="shared" si="0"/>
        <v>1</v>
      </c>
      <c r="J32" s="37" t="str">
        <f t="shared" si="1"/>
        <v>02/11</v>
      </c>
    </row>
    <row r="33" spans="1:10" x14ac:dyDescent="0.25">
      <c r="A33" s="25">
        <v>132270001</v>
      </c>
      <c r="B33" s="26">
        <v>1121</v>
      </c>
      <c r="C33" s="41" t="s">
        <v>21</v>
      </c>
      <c r="D33" s="54">
        <v>43136</v>
      </c>
      <c r="E33" s="38" t="s">
        <v>10</v>
      </c>
      <c r="F33" s="28">
        <v>0.5</v>
      </c>
      <c r="G33" s="27" t="s">
        <v>69</v>
      </c>
      <c r="H33" s="23" t="s">
        <v>8</v>
      </c>
      <c r="I33" s="37">
        <f t="shared" si="0"/>
        <v>1</v>
      </c>
      <c r="J33" s="37" t="str">
        <f t="shared" si="1"/>
        <v>02/11</v>
      </c>
    </row>
    <row r="34" spans="1:10" x14ac:dyDescent="0.25">
      <c r="A34" s="25">
        <v>132270001</v>
      </c>
      <c r="B34" s="26">
        <v>1120</v>
      </c>
      <c r="C34" s="41" t="s">
        <v>21</v>
      </c>
      <c r="D34" s="54">
        <v>43136</v>
      </c>
      <c r="E34" s="38" t="s">
        <v>9</v>
      </c>
      <c r="F34" s="28">
        <v>8</v>
      </c>
      <c r="G34" s="27" t="s">
        <v>70</v>
      </c>
      <c r="H34" s="23" t="s">
        <v>8</v>
      </c>
      <c r="I34" s="37">
        <f t="shared" si="0"/>
        <v>1</v>
      </c>
      <c r="J34" s="37" t="str">
        <f t="shared" si="1"/>
        <v>02/11</v>
      </c>
    </row>
    <row r="35" spans="1:10" x14ac:dyDescent="0.25">
      <c r="A35" s="25">
        <v>132270001</v>
      </c>
      <c r="B35" s="26">
        <v>1120</v>
      </c>
      <c r="C35" s="41" t="s">
        <v>21</v>
      </c>
      <c r="D35" s="54">
        <v>43136</v>
      </c>
      <c r="E35" s="38" t="s">
        <v>10</v>
      </c>
      <c r="F35" s="28">
        <v>0.5</v>
      </c>
      <c r="G35" s="27" t="s">
        <v>70</v>
      </c>
      <c r="H35" s="23" t="s">
        <v>8</v>
      </c>
      <c r="I35" s="37">
        <f t="shared" si="0"/>
        <v>1</v>
      </c>
      <c r="J35" s="37" t="str">
        <f t="shared" si="1"/>
        <v>02/11</v>
      </c>
    </row>
    <row r="36" spans="1:10" x14ac:dyDescent="0.25">
      <c r="A36" s="25">
        <v>132270001</v>
      </c>
      <c r="B36" s="26">
        <v>1354</v>
      </c>
      <c r="C36" s="41" t="s">
        <v>21</v>
      </c>
      <c r="D36" s="54">
        <v>43136</v>
      </c>
      <c r="E36" s="38" t="s">
        <v>9</v>
      </c>
      <c r="F36" s="28">
        <v>8</v>
      </c>
      <c r="G36" s="27" t="s">
        <v>71</v>
      </c>
      <c r="H36" s="23" t="s">
        <v>8</v>
      </c>
      <c r="I36" s="37">
        <f t="shared" si="0"/>
        <v>1</v>
      </c>
      <c r="J36" s="37" t="str">
        <f t="shared" si="1"/>
        <v>02/11</v>
      </c>
    </row>
    <row r="37" spans="1:10" x14ac:dyDescent="0.25">
      <c r="A37" s="25">
        <v>132270001</v>
      </c>
      <c r="B37" s="26">
        <v>1354</v>
      </c>
      <c r="C37" s="41" t="s">
        <v>21</v>
      </c>
      <c r="D37" s="54">
        <v>43136</v>
      </c>
      <c r="E37" s="38" t="s">
        <v>10</v>
      </c>
      <c r="F37" s="28">
        <v>0.5</v>
      </c>
      <c r="G37" s="27" t="s">
        <v>71</v>
      </c>
      <c r="H37" s="23" t="s">
        <v>8</v>
      </c>
      <c r="I37" s="37">
        <f t="shared" si="0"/>
        <v>1</v>
      </c>
      <c r="J37" s="37" t="str">
        <f t="shared" si="1"/>
        <v>02/11</v>
      </c>
    </row>
    <row r="38" spans="1:10" x14ac:dyDescent="0.25">
      <c r="A38" s="25">
        <v>132270001</v>
      </c>
      <c r="B38" s="26">
        <v>1212</v>
      </c>
      <c r="C38" s="41" t="s">
        <v>20</v>
      </c>
      <c r="D38" s="54">
        <v>43136</v>
      </c>
      <c r="E38" s="38" t="s">
        <v>9</v>
      </c>
      <c r="F38" s="28">
        <v>8</v>
      </c>
      <c r="G38" s="27" t="s">
        <v>72</v>
      </c>
      <c r="H38" s="23" t="s">
        <v>8</v>
      </c>
      <c r="I38" s="37">
        <f t="shared" si="0"/>
        <v>1</v>
      </c>
      <c r="J38" s="37" t="str">
        <f t="shared" si="1"/>
        <v>02/11</v>
      </c>
    </row>
    <row r="39" spans="1:10" x14ac:dyDescent="0.25">
      <c r="A39" s="25">
        <v>132270001</v>
      </c>
      <c r="B39" s="26">
        <v>1212</v>
      </c>
      <c r="C39" s="24" t="s">
        <v>20</v>
      </c>
      <c r="D39" s="54">
        <v>43136</v>
      </c>
      <c r="E39" s="38" t="s">
        <v>10</v>
      </c>
      <c r="F39" s="28">
        <v>0.5</v>
      </c>
      <c r="G39" s="27" t="s">
        <v>72</v>
      </c>
      <c r="H39" s="23" t="s">
        <v>8</v>
      </c>
      <c r="I39" s="37">
        <f t="shared" si="0"/>
        <v>1</v>
      </c>
      <c r="J39" s="37" t="str">
        <f t="shared" si="1"/>
        <v>02/11</v>
      </c>
    </row>
    <row r="40" spans="1:10" x14ac:dyDescent="0.25">
      <c r="A40" s="25">
        <v>132170001</v>
      </c>
      <c r="B40" s="26">
        <v>1122</v>
      </c>
      <c r="C40" s="24" t="s">
        <v>22</v>
      </c>
      <c r="D40" s="54">
        <v>43137</v>
      </c>
      <c r="E40" s="38" t="s">
        <v>9</v>
      </c>
      <c r="F40" s="28">
        <v>8</v>
      </c>
      <c r="G40" s="27" t="s">
        <v>54</v>
      </c>
      <c r="H40" s="23">
        <v>2</v>
      </c>
      <c r="I40" s="37">
        <f t="shared" si="0"/>
        <v>2</v>
      </c>
      <c r="J40" s="37" t="str">
        <f t="shared" si="1"/>
        <v>02/11</v>
      </c>
    </row>
    <row r="41" spans="1:10" x14ac:dyDescent="0.25">
      <c r="A41" s="25">
        <v>132170001</v>
      </c>
      <c r="B41" s="26">
        <v>1070</v>
      </c>
      <c r="C41" s="24" t="s">
        <v>24</v>
      </c>
      <c r="D41" s="54">
        <v>43137</v>
      </c>
      <c r="E41" s="38" t="s">
        <v>9</v>
      </c>
      <c r="F41" s="28">
        <v>8</v>
      </c>
      <c r="G41" s="27" t="s">
        <v>73</v>
      </c>
      <c r="H41" s="23">
        <v>4</v>
      </c>
      <c r="I41" s="37">
        <f t="shared" si="0"/>
        <v>2</v>
      </c>
      <c r="J41" s="37" t="str">
        <f t="shared" si="1"/>
        <v>02/11</v>
      </c>
    </row>
    <row r="42" spans="1:10" x14ac:dyDescent="0.25">
      <c r="A42" s="25">
        <v>132170001</v>
      </c>
      <c r="B42" s="26">
        <v>1209</v>
      </c>
      <c r="C42" s="24" t="s">
        <v>19</v>
      </c>
      <c r="D42" s="54">
        <v>43137</v>
      </c>
      <c r="E42" s="38" t="s">
        <v>9</v>
      </c>
      <c r="F42" s="28">
        <v>8</v>
      </c>
      <c r="G42" s="27" t="s">
        <v>55</v>
      </c>
      <c r="H42" s="23" t="s">
        <v>8</v>
      </c>
      <c r="I42" s="37">
        <f t="shared" si="0"/>
        <v>2</v>
      </c>
      <c r="J42" s="37" t="str">
        <f t="shared" si="1"/>
        <v>02/11</v>
      </c>
    </row>
    <row r="43" spans="1:10" x14ac:dyDescent="0.25">
      <c r="A43" s="25">
        <v>132170001</v>
      </c>
      <c r="B43" s="26">
        <v>1035</v>
      </c>
      <c r="C43" s="24" t="s">
        <v>23</v>
      </c>
      <c r="D43" s="54">
        <v>43137</v>
      </c>
      <c r="E43" s="38" t="s">
        <v>9</v>
      </c>
      <c r="F43" s="28">
        <v>8</v>
      </c>
      <c r="G43" s="27" t="s">
        <v>59</v>
      </c>
      <c r="H43" s="23" t="s">
        <v>8</v>
      </c>
      <c r="I43" s="37">
        <f t="shared" si="0"/>
        <v>2</v>
      </c>
      <c r="J43" s="37" t="str">
        <f t="shared" si="1"/>
        <v>02/11</v>
      </c>
    </row>
    <row r="44" spans="1:10" x14ac:dyDescent="0.25">
      <c r="A44" s="25">
        <v>132170001</v>
      </c>
      <c r="B44" s="26">
        <v>1309</v>
      </c>
      <c r="C44" s="24" t="s">
        <v>20</v>
      </c>
      <c r="D44" s="54">
        <v>43137</v>
      </c>
      <c r="E44" s="38" t="s">
        <v>9</v>
      </c>
      <c r="F44" s="28">
        <v>5.5</v>
      </c>
      <c r="G44" s="27" t="s">
        <v>60</v>
      </c>
      <c r="H44" s="23" t="s">
        <v>8</v>
      </c>
      <c r="I44" s="37">
        <f t="shared" si="0"/>
        <v>2</v>
      </c>
      <c r="J44" s="37" t="str">
        <f t="shared" si="1"/>
        <v>02/11</v>
      </c>
    </row>
    <row r="45" spans="1:10" x14ac:dyDescent="0.25">
      <c r="A45" s="25">
        <v>106950001</v>
      </c>
      <c r="B45" s="26">
        <v>1467</v>
      </c>
      <c r="C45" s="24" t="s">
        <v>21</v>
      </c>
      <c r="D45" s="54">
        <v>43137</v>
      </c>
      <c r="E45" s="38" t="s">
        <v>9</v>
      </c>
      <c r="F45" s="28">
        <v>8</v>
      </c>
      <c r="G45" s="27" t="s">
        <v>74</v>
      </c>
      <c r="H45" s="23" t="s">
        <v>8</v>
      </c>
      <c r="I45" s="37">
        <f t="shared" si="0"/>
        <v>2</v>
      </c>
      <c r="J45" s="37" t="str">
        <f t="shared" si="1"/>
        <v>02/11</v>
      </c>
    </row>
    <row r="46" spans="1:10" x14ac:dyDescent="0.25">
      <c r="A46" s="25">
        <v>106950001</v>
      </c>
      <c r="B46" s="26">
        <v>1467</v>
      </c>
      <c r="C46" s="24" t="s">
        <v>21</v>
      </c>
      <c r="D46" s="54">
        <v>43137</v>
      </c>
      <c r="E46" s="38" t="s">
        <v>10</v>
      </c>
      <c r="F46" s="28">
        <v>2</v>
      </c>
      <c r="G46" s="27" t="s">
        <v>74</v>
      </c>
      <c r="H46" s="23" t="s">
        <v>8</v>
      </c>
      <c r="I46" s="37">
        <f t="shared" si="0"/>
        <v>2</v>
      </c>
      <c r="J46" s="37" t="str">
        <f t="shared" si="1"/>
        <v>02/11</v>
      </c>
    </row>
    <row r="47" spans="1:10" x14ac:dyDescent="0.25">
      <c r="A47" s="25">
        <v>132270001</v>
      </c>
      <c r="B47" s="26">
        <v>1027</v>
      </c>
      <c r="C47" s="24" t="s">
        <v>22</v>
      </c>
      <c r="D47" s="54">
        <v>43137</v>
      </c>
      <c r="E47" s="38" t="s">
        <v>9</v>
      </c>
      <c r="F47" s="28">
        <v>8</v>
      </c>
      <c r="G47" s="27" t="s">
        <v>68</v>
      </c>
      <c r="H47" s="23">
        <v>2</v>
      </c>
      <c r="I47" s="37">
        <f t="shared" si="0"/>
        <v>2</v>
      </c>
      <c r="J47" s="37" t="str">
        <f t="shared" si="1"/>
        <v>02/11</v>
      </c>
    </row>
    <row r="48" spans="1:10" x14ac:dyDescent="0.25">
      <c r="A48" s="25">
        <v>132270001</v>
      </c>
      <c r="B48" s="26">
        <v>1027</v>
      </c>
      <c r="C48" s="24" t="s">
        <v>22</v>
      </c>
      <c r="D48" s="54">
        <v>43137</v>
      </c>
      <c r="E48" s="38" t="s">
        <v>10</v>
      </c>
      <c r="F48" s="28">
        <v>0.5</v>
      </c>
      <c r="G48" s="27" t="s">
        <v>68</v>
      </c>
      <c r="H48" s="23">
        <v>2</v>
      </c>
      <c r="I48" s="37">
        <f t="shared" si="0"/>
        <v>2</v>
      </c>
      <c r="J48" s="37" t="str">
        <f t="shared" si="1"/>
        <v>02/11</v>
      </c>
    </row>
    <row r="49" spans="1:10" x14ac:dyDescent="0.25">
      <c r="A49" s="25">
        <v>132270001</v>
      </c>
      <c r="B49" s="26">
        <v>1360</v>
      </c>
      <c r="C49" s="24" t="s">
        <v>24</v>
      </c>
      <c r="D49" s="54">
        <v>43137</v>
      </c>
      <c r="E49" s="38" t="s">
        <v>9</v>
      </c>
      <c r="F49" s="28">
        <v>8</v>
      </c>
      <c r="G49" s="27" t="s">
        <v>56</v>
      </c>
      <c r="H49" s="23">
        <v>4</v>
      </c>
      <c r="I49" s="37">
        <f t="shared" si="0"/>
        <v>2</v>
      </c>
      <c r="J49" s="37" t="str">
        <f t="shared" si="1"/>
        <v>02/11</v>
      </c>
    </row>
    <row r="50" spans="1:10" x14ac:dyDescent="0.25">
      <c r="A50" s="25">
        <v>132270001</v>
      </c>
      <c r="B50" s="26">
        <v>1360</v>
      </c>
      <c r="C50" s="24" t="s">
        <v>24</v>
      </c>
      <c r="D50" s="54">
        <v>43137</v>
      </c>
      <c r="E50" s="38" t="s">
        <v>10</v>
      </c>
      <c r="F50" s="28">
        <v>0.5</v>
      </c>
      <c r="G50" s="27" t="s">
        <v>56</v>
      </c>
      <c r="H50" s="23">
        <v>4</v>
      </c>
      <c r="I50" s="37">
        <f t="shared" si="0"/>
        <v>2</v>
      </c>
      <c r="J50" s="37" t="str">
        <f t="shared" si="1"/>
        <v>02/11</v>
      </c>
    </row>
    <row r="51" spans="1:10" x14ac:dyDescent="0.25">
      <c r="A51" s="25">
        <v>132270001</v>
      </c>
      <c r="B51" s="26">
        <v>1121</v>
      </c>
      <c r="C51" s="24" t="s">
        <v>21</v>
      </c>
      <c r="D51" s="54">
        <v>43137</v>
      </c>
      <c r="E51" s="38" t="s">
        <v>9</v>
      </c>
      <c r="F51" s="28">
        <v>8</v>
      </c>
      <c r="G51" s="27" t="s">
        <v>69</v>
      </c>
      <c r="H51" s="23" t="s">
        <v>8</v>
      </c>
      <c r="I51" s="37">
        <f t="shared" si="0"/>
        <v>2</v>
      </c>
      <c r="J51" s="37" t="str">
        <f t="shared" si="1"/>
        <v>02/11</v>
      </c>
    </row>
    <row r="52" spans="1:10" x14ac:dyDescent="0.25">
      <c r="A52" s="25">
        <v>132270001</v>
      </c>
      <c r="B52" s="26">
        <v>1121</v>
      </c>
      <c r="C52" s="24" t="s">
        <v>21</v>
      </c>
      <c r="D52" s="54">
        <v>43137</v>
      </c>
      <c r="E52" s="38" t="s">
        <v>10</v>
      </c>
      <c r="F52" s="28">
        <v>0.5</v>
      </c>
      <c r="G52" s="27" t="s">
        <v>69</v>
      </c>
      <c r="H52" s="23" t="s">
        <v>8</v>
      </c>
      <c r="I52" s="37">
        <f t="shared" ref="I52:I115" si="2">WEEKDAY(D52,2)</f>
        <v>2</v>
      </c>
      <c r="J52" s="37" t="str">
        <f t="shared" si="1"/>
        <v>02/11</v>
      </c>
    </row>
    <row r="53" spans="1:10" x14ac:dyDescent="0.25">
      <c r="A53" s="25">
        <v>132270001</v>
      </c>
      <c r="B53" s="26">
        <v>1120</v>
      </c>
      <c r="C53" s="24" t="s">
        <v>21</v>
      </c>
      <c r="D53" s="54">
        <v>43137</v>
      </c>
      <c r="E53" s="38" t="s">
        <v>9</v>
      </c>
      <c r="F53" s="28">
        <v>8</v>
      </c>
      <c r="G53" s="27" t="s">
        <v>70</v>
      </c>
      <c r="H53" s="23" t="s">
        <v>8</v>
      </c>
      <c r="I53" s="37">
        <f t="shared" si="2"/>
        <v>2</v>
      </c>
      <c r="J53" s="37" t="str">
        <f t="shared" si="1"/>
        <v>02/11</v>
      </c>
    </row>
    <row r="54" spans="1:10" x14ac:dyDescent="0.25">
      <c r="A54" s="25">
        <v>132270001</v>
      </c>
      <c r="B54" s="26">
        <v>1120</v>
      </c>
      <c r="C54" s="24" t="s">
        <v>21</v>
      </c>
      <c r="D54" s="54">
        <v>43137</v>
      </c>
      <c r="E54" s="38" t="s">
        <v>10</v>
      </c>
      <c r="F54" s="28">
        <v>0.5</v>
      </c>
      <c r="G54" s="27" t="s">
        <v>70</v>
      </c>
      <c r="H54" s="23" t="s">
        <v>8</v>
      </c>
      <c r="I54" s="37">
        <f t="shared" si="2"/>
        <v>2</v>
      </c>
      <c r="J54" s="37" t="str">
        <f t="shared" si="1"/>
        <v>02/11</v>
      </c>
    </row>
    <row r="55" spans="1:10" x14ac:dyDescent="0.25">
      <c r="A55" s="25">
        <v>132270001</v>
      </c>
      <c r="B55" s="26">
        <v>1212</v>
      </c>
      <c r="C55" s="24" t="s">
        <v>20</v>
      </c>
      <c r="D55" s="54">
        <v>43137</v>
      </c>
      <c r="E55" s="38" t="s">
        <v>9</v>
      </c>
      <c r="F55" s="28">
        <v>8</v>
      </c>
      <c r="G55" s="27" t="s">
        <v>72</v>
      </c>
      <c r="H55" s="29" t="s">
        <v>8</v>
      </c>
      <c r="I55" s="37">
        <f t="shared" si="2"/>
        <v>2</v>
      </c>
      <c r="J55" s="37" t="str">
        <f t="shared" si="1"/>
        <v>02/11</v>
      </c>
    </row>
    <row r="56" spans="1:10" x14ac:dyDescent="0.25">
      <c r="A56" s="25">
        <v>132270001</v>
      </c>
      <c r="B56" s="26">
        <v>1212</v>
      </c>
      <c r="C56" s="24" t="s">
        <v>20</v>
      </c>
      <c r="D56" s="54">
        <v>43137</v>
      </c>
      <c r="E56" s="38" t="s">
        <v>10</v>
      </c>
      <c r="F56" s="28">
        <v>0.5</v>
      </c>
      <c r="G56" s="27" t="s">
        <v>72</v>
      </c>
      <c r="H56" s="29" t="s">
        <v>8</v>
      </c>
      <c r="I56" s="37">
        <f t="shared" si="2"/>
        <v>2</v>
      </c>
      <c r="J56" s="37" t="str">
        <f t="shared" si="1"/>
        <v>02/11</v>
      </c>
    </row>
    <row r="57" spans="1:10" x14ac:dyDescent="0.25">
      <c r="A57" s="25">
        <v>132270001</v>
      </c>
      <c r="B57" s="26">
        <v>1082</v>
      </c>
      <c r="C57" s="24" t="s">
        <v>19</v>
      </c>
      <c r="D57" s="54">
        <v>43137</v>
      </c>
      <c r="E57" s="38" t="s">
        <v>9</v>
      </c>
      <c r="F57" s="28">
        <v>8</v>
      </c>
      <c r="G57" s="27" t="s">
        <v>57</v>
      </c>
      <c r="H57" s="23" t="s">
        <v>8</v>
      </c>
      <c r="I57" s="37">
        <f t="shared" si="2"/>
        <v>2</v>
      </c>
      <c r="J57" s="37" t="str">
        <f t="shared" si="1"/>
        <v>02/11</v>
      </c>
    </row>
    <row r="58" spans="1:10" x14ac:dyDescent="0.25">
      <c r="A58" s="25">
        <v>132270001</v>
      </c>
      <c r="B58" s="26">
        <v>1082</v>
      </c>
      <c r="C58" s="24" t="s">
        <v>19</v>
      </c>
      <c r="D58" s="54">
        <v>43137</v>
      </c>
      <c r="E58" s="38" t="s">
        <v>10</v>
      </c>
      <c r="F58" s="28">
        <v>0.5</v>
      </c>
      <c r="G58" s="27" t="s">
        <v>57</v>
      </c>
      <c r="H58" s="23" t="s">
        <v>8</v>
      </c>
      <c r="I58" s="37">
        <f t="shared" si="2"/>
        <v>2</v>
      </c>
      <c r="J58" s="37" t="str">
        <f t="shared" si="1"/>
        <v>02/11</v>
      </c>
    </row>
    <row r="59" spans="1:10" x14ac:dyDescent="0.25">
      <c r="A59" s="25">
        <v>132270001</v>
      </c>
      <c r="B59" s="26">
        <v>1354</v>
      </c>
      <c r="C59" s="24" t="s">
        <v>21</v>
      </c>
      <c r="D59" s="54">
        <v>43137</v>
      </c>
      <c r="E59" s="38" t="s">
        <v>9</v>
      </c>
      <c r="F59" s="28">
        <v>7</v>
      </c>
      <c r="G59" s="27" t="s">
        <v>71</v>
      </c>
      <c r="H59" s="23" t="s">
        <v>8</v>
      </c>
      <c r="I59" s="37">
        <f t="shared" si="2"/>
        <v>2</v>
      </c>
      <c r="J59" s="37" t="str">
        <f t="shared" si="1"/>
        <v>02/11</v>
      </c>
    </row>
    <row r="60" spans="1:10" x14ac:dyDescent="0.25">
      <c r="A60" s="25">
        <v>106950001</v>
      </c>
      <c r="B60" s="26">
        <v>1480</v>
      </c>
      <c r="C60" s="24" t="s">
        <v>21</v>
      </c>
      <c r="D60" s="54">
        <v>43137</v>
      </c>
      <c r="E60" s="38" t="s">
        <v>9</v>
      </c>
      <c r="F60" s="28">
        <v>8</v>
      </c>
      <c r="G60" s="27" t="s">
        <v>53</v>
      </c>
      <c r="H60" s="23" t="s">
        <v>8</v>
      </c>
      <c r="I60" s="37">
        <f t="shared" si="2"/>
        <v>2</v>
      </c>
      <c r="J60" s="37" t="str">
        <f t="shared" si="1"/>
        <v>02/11</v>
      </c>
    </row>
    <row r="61" spans="1:10" x14ac:dyDescent="0.25">
      <c r="A61" s="25">
        <v>106950001</v>
      </c>
      <c r="B61" s="26">
        <v>1480</v>
      </c>
      <c r="C61" s="40" t="s">
        <v>21</v>
      </c>
      <c r="D61" s="54">
        <v>43137</v>
      </c>
      <c r="E61" s="38" t="s">
        <v>10</v>
      </c>
      <c r="F61" s="28">
        <v>4</v>
      </c>
      <c r="G61" s="27" t="s">
        <v>53</v>
      </c>
      <c r="H61" s="23" t="s">
        <v>8</v>
      </c>
      <c r="I61" s="37">
        <f t="shared" si="2"/>
        <v>2</v>
      </c>
      <c r="J61" s="37" t="str">
        <f t="shared" si="1"/>
        <v>02/11</v>
      </c>
    </row>
    <row r="62" spans="1:10" x14ac:dyDescent="0.25">
      <c r="A62" s="25">
        <v>132490001</v>
      </c>
      <c r="B62" s="26">
        <v>1007</v>
      </c>
      <c r="C62" s="41" t="s">
        <v>19</v>
      </c>
      <c r="D62" s="54">
        <v>43137</v>
      </c>
      <c r="E62" s="38" t="s">
        <v>9</v>
      </c>
      <c r="F62" s="28">
        <v>2</v>
      </c>
      <c r="G62" s="27" t="s">
        <v>61</v>
      </c>
      <c r="H62" s="23" t="s">
        <v>8</v>
      </c>
      <c r="I62" s="37">
        <f t="shared" si="2"/>
        <v>2</v>
      </c>
      <c r="J62" s="37" t="str">
        <f t="shared" si="1"/>
        <v>02/11</v>
      </c>
    </row>
    <row r="63" spans="1:10" x14ac:dyDescent="0.25">
      <c r="A63" s="25">
        <v>51150001</v>
      </c>
      <c r="B63" s="26">
        <v>1007</v>
      </c>
      <c r="C63" s="24" t="s">
        <v>19</v>
      </c>
      <c r="D63" s="54">
        <v>43137</v>
      </c>
      <c r="E63" s="38" t="s">
        <v>9</v>
      </c>
      <c r="F63" s="28">
        <v>1</v>
      </c>
      <c r="G63" s="27" t="s">
        <v>61</v>
      </c>
      <c r="H63" s="29" t="s">
        <v>8</v>
      </c>
      <c r="I63" s="37">
        <f t="shared" si="2"/>
        <v>2</v>
      </c>
      <c r="J63" s="37" t="str">
        <f t="shared" si="1"/>
        <v>02/11</v>
      </c>
    </row>
    <row r="64" spans="1:10" x14ac:dyDescent="0.25">
      <c r="A64" s="25">
        <v>112690001</v>
      </c>
      <c r="B64" s="26">
        <v>1007</v>
      </c>
      <c r="C64" s="41" t="s">
        <v>19</v>
      </c>
      <c r="D64" s="54">
        <v>43137</v>
      </c>
      <c r="E64" s="38" t="s">
        <v>9</v>
      </c>
      <c r="F64" s="28">
        <v>1</v>
      </c>
      <c r="G64" s="27" t="s">
        <v>61</v>
      </c>
      <c r="H64" s="23" t="s">
        <v>8</v>
      </c>
      <c r="I64" s="37">
        <f t="shared" si="2"/>
        <v>2</v>
      </c>
      <c r="J64" s="37" t="str">
        <f t="shared" si="1"/>
        <v>02/11</v>
      </c>
    </row>
    <row r="65" spans="1:10" x14ac:dyDescent="0.25">
      <c r="A65" s="25">
        <v>130340001</v>
      </c>
      <c r="B65" s="26">
        <v>1007</v>
      </c>
      <c r="C65" s="24" t="s">
        <v>19</v>
      </c>
      <c r="D65" s="54">
        <v>43137</v>
      </c>
      <c r="E65" s="38" t="s">
        <v>9</v>
      </c>
      <c r="F65" s="28">
        <v>1</v>
      </c>
      <c r="G65" s="27" t="s">
        <v>61</v>
      </c>
      <c r="H65" s="23" t="s">
        <v>8</v>
      </c>
      <c r="I65" s="37">
        <f t="shared" si="2"/>
        <v>2</v>
      </c>
      <c r="J65" s="37" t="str">
        <f t="shared" si="1"/>
        <v>02/11</v>
      </c>
    </row>
    <row r="66" spans="1:10" x14ac:dyDescent="0.25">
      <c r="A66" s="25">
        <v>133980001</v>
      </c>
      <c r="B66" s="26">
        <v>1007</v>
      </c>
      <c r="C66" s="24" t="s">
        <v>19</v>
      </c>
      <c r="D66" s="54">
        <v>43137</v>
      </c>
      <c r="E66" s="38" t="s">
        <v>9</v>
      </c>
      <c r="F66" s="28">
        <v>3</v>
      </c>
      <c r="G66" s="27" t="s">
        <v>61</v>
      </c>
      <c r="H66" s="23" t="s">
        <v>8</v>
      </c>
      <c r="I66" s="37">
        <f t="shared" si="2"/>
        <v>2</v>
      </c>
      <c r="J66" s="37" t="str">
        <f t="shared" ref="J66:J129" si="3">TEXT(IF(I66= 1,D66+6, IF(I66= 2, D66+5, IF(I66= 3,D66+4, IF(I66= 4, D66+3, IF(I66= 5, D66+2, IF(I66= 6, D66+1, IF(I66=7,D66+0))))))),"mm/dd")</f>
        <v>02/11</v>
      </c>
    </row>
    <row r="67" spans="1:10" x14ac:dyDescent="0.25">
      <c r="A67" s="25">
        <v>132490001</v>
      </c>
      <c r="B67" s="26">
        <v>1032</v>
      </c>
      <c r="C67" s="24" t="s">
        <v>21</v>
      </c>
      <c r="D67" s="54">
        <v>43137</v>
      </c>
      <c r="E67" s="38" t="s">
        <v>9</v>
      </c>
      <c r="F67" s="28">
        <v>6</v>
      </c>
      <c r="G67" s="27" t="s">
        <v>62</v>
      </c>
      <c r="H67" s="23" t="s">
        <v>8</v>
      </c>
      <c r="I67" s="37">
        <f t="shared" si="2"/>
        <v>2</v>
      </c>
      <c r="J67" s="37" t="str">
        <f t="shared" si="3"/>
        <v>02/11</v>
      </c>
    </row>
    <row r="68" spans="1:10" x14ac:dyDescent="0.25">
      <c r="A68" s="25">
        <v>133980001</v>
      </c>
      <c r="B68" s="26">
        <v>1032</v>
      </c>
      <c r="C68" s="24" t="s">
        <v>21</v>
      </c>
      <c r="D68" s="54">
        <v>43137</v>
      </c>
      <c r="E68" s="38" t="s">
        <v>9</v>
      </c>
      <c r="F68" s="28">
        <v>2</v>
      </c>
      <c r="G68" s="27" t="s">
        <v>62</v>
      </c>
      <c r="H68" s="23" t="s">
        <v>8</v>
      </c>
      <c r="I68" s="37">
        <f t="shared" si="2"/>
        <v>2</v>
      </c>
      <c r="J68" s="37" t="str">
        <f t="shared" si="3"/>
        <v>02/11</v>
      </c>
    </row>
    <row r="69" spans="1:10" x14ac:dyDescent="0.25">
      <c r="A69" s="25">
        <v>132490001</v>
      </c>
      <c r="B69" s="26">
        <v>1047</v>
      </c>
      <c r="C69" s="24" t="s">
        <v>21</v>
      </c>
      <c r="D69" s="54">
        <v>43137</v>
      </c>
      <c r="E69" s="38" t="s">
        <v>9</v>
      </c>
      <c r="F69" s="28">
        <v>8</v>
      </c>
      <c r="G69" s="27" t="s">
        <v>63</v>
      </c>
      <c r="H69" s="23" t="s">
        <v>8</v>
      </c>
      <c r="I69" s="37">
        <f t="shared" si="2"/>
        <v>2</v>
      </c>
      <c r="J69" s="37" t="str">
        <f t="shared" si="3"/>
        <v>02/11</v>
      </c>
    </row>
    <row r="70" spans="1:10" x14ac:dyDescent="0.25">
      <c r="A70" s="25">
        <v>132490001</v>
      </c>
      <c r="B70" s="26">
        <v>1437</v>
      </c>
      <c r="C70" s="24" t="s">
        <v>21</v>
      </c>
      <c r="D70" s="54">
        <v>43137</v>
      </c>
      <c r="E70" s="38" t="s">
        <v>9</v>
      </c>
      <c r="F70" s="28">
        <v>2</v>
      </c>
      <c r="G70" s="27" t="s">
        <v>64</v>
      </c>
      <c r="H70" s="23" t="s">
        <v>8</v>
      </c>
      <c r="I70" s="37">
        <f t="shared" si="2"/>
        <v>2</v>
      </c>
      <c r="J70" s="37" t="str">
        <f t="shared" si="3"/>
        <v>02/11</v>
      </c>
    </row>
    <row r="71" spans="1:10" x14ac:dyDescent="0.25">
      <c r="A71" s="25">
        <v>51150001</v>
      </c>
      <c r="B71" s="26">
        <v>1437</v>
      </c>
      <c r="C71" s="24" t="s">
        <v>21</v>
      </c>
      <c r="D71" s="54">
        <v>43137</v>
      </c>
      <c r="E71" s="38" t="s">
        <v>9</v>
      </c>
      <c r="F71" s="28">
        <v>6</v>
      </c>
      <c r="G71" s="27" t="s">
        <v>64</v>
      </c>
      <c r="H71" s="23" t="s">
        <v>8</v>
      </c>
      <c r="I71" s="37">
        <f t="shared" si="2"/>
        <v>2</v>
      </c>
      <c r="J71" s="37" t="str">
        <f t="shared" si="3"/>
        <v>02/11</v>
      </c>
    </row>
    <row r="72" spans="1:10" x14ac:dyDescent="0.25">
      <c r="A72" s="25">
        <v>112690001</v>
      </c>
      <c r="B72" s="26">
        <v>1253</v>
      </c>
      <c r="C72" s="24" t="s">
        <v>21</v>
      </c>
      <c r="D72" s="54">
        <v>43137</v>
      </c>
      <c r="E72" s="38" t="s">
        <v>9</v>
      </c>
      <c r="F72" s="28">
        <v>6</v>
      </c>
      <c r="G72" s="27" t="s">
        <v>65</v>
      </c>
      <c r="H72" s="23" t="s">
        <v>8</v>
      </c>
      <c r="I72" s="37">
        <f t="shared" si="2"/>
        <v>2</v>
      </c>
      <c r="J72" s="37" t="str">
        <f t="shared" si="3"/>
        <v>02/11</v>
      </c>
    </row>
    <row r="73" spans="1:10" x14ac:dyDescent="0.25">
      <c r="A73" s="25">
        <v>133980001</v>
      </c>
      <c r="B73" s="26">
        <v>1253</v>
      </c>
      <c r="C73" s="24" t="s">
        <v>21</v>
      </c>
      <c r="D73" s="54">
        <v>43137</v>
      </c>
      <c r="E73" s="38" t="s">
        <v>9</v>
      </c>
      <c r="F73" s="28">
        <v>2</v>
      </c>
      <c r="G73" s="27" t="s">
        <v>65</v>
      </c>
      <c r="H73" s="23" t="s">
        <v>8</v>
      </c>
      <c r="I73" s="37">
        <f t="shared" si="2"/>
        <v>2</v>
      </c>
      <c r="J73" s="37" t="str">
        <f t="shared" si="3"/>
        <v>02/11</v>
      </c>
    </row>
    <row r="74" spans="1:10" x14ac:dyDescent="0.25">
      <c r="A74" s="25">
        <v>132490001</v>
      </c>
      <c r="B74" s="26">
        <v>1247</v>
      </c>
      <c r="C74" s="24" t="s">
        <v>20</v>
      </c>
      <c r="D74" s="54">
        <v>43137</v>
      </c>
      <c r="E74" s="38" t="s">
        <v>9</v>
      </c>
      <c r="F74" s="28">
        <v>4</v>
      </c>
      <c r="G74" s="27" t="s">
        <v>66</v>
      </c>
      <c r="H74" s="23" t="s">
        <v>8</v>
      </c>
      <c r="I74" s="37">
        <f t="shared" si="2"/>
        <v>2</v>
      </c>
      <c r="J74" s="37" t="str">
        <f t="shared" si="3"/>
        <v>02/11</v>
      </c>
    </row>
    <row r="75" spans="1:10" x14ac:dyDescent="0.25">
      <c r="A75" s="25">
        <v>130340001</v>
      </c>
      <c r="B75" s="26">
        <v>1247</v>
      </c>
      <c r="C75" s="24" t="s">
        <v>20</v>
      </c>
      <c r="D75" s="54">
        <v>43137</v>
      </c>
      <c r="E75" s="38" t="s">
        <v>9</v>
      </c>
      <c r="F75" s="28">
        <v>4</v>
      </c>
      <c r="G75" s="27" t="s">
        <v>66</v>
      </c>
      <c r="H75" s="23" t="s">
        <v>8</v>
      </c>
      <c r="I75" s="37">
        <f t="shared" si="2"/>
        <v>2</v>
      </c>
      <c r="J75" s="37" t="str">
        <f t="shared" si="3"/>
        <v>02/11</v>
      </c>
    </row>
    <row r="76" spans="1:10" x14ac:dyDescent="0.25">
      <c r="A76" s="25">
        <v>50360001</v>
      </c>
      <c r="B76" s="26">
        <v>1025</v>
      </c>
      <c r="C76" s="24" t="s">
        <v>19</v>
      </c>
      <c r="D76" s="54">
        <v>43137</v>
      </c>
      <c r="E76" s="38" t="s">
        <v>9</v>
      </c>
      <c r="F76" s="28">
        <v>3</v>
      </c>
      <c r="G76" s="27" t="s">
        <v>67</v>
      </c>
      <c r="H76" s="23" t="s">
        <v>8</v>
      </c>
      <c r="I76" s="37">
        <f t="shared" si="2"/>
        <v>2</v>
      </c>
      <c r="J76" s="37" t="str">
        <f t="shared" si="3"/>
        <v>02/11</v>
      </c>
    </row>
    <row r="77" spans="1:10" x14ac:dyDescent="0.25">
      <c r="A77" s="25">
        <v>133980001</v>
      </c>
      <c r="B77" s="26">
        <v>1025</v>
      </c>
      <c r="C77" s="24" t="s">
        <v>19</v>
      </c>
      <c r="D77" s="54">
        <v>43137</v>
      </c>
      <c r="E77" s="38" t="s">
        <v>9</v>
      </c>
      <c r="F77" s="28">
        <v>1</v>
      </c>
      <c r="G77" s="27" t="s">
        <v>67</v>
      </c>
      <c r="H77" s="23" t="s">
        <v>8</v>
      </c>
      <c r="I77" s="37">
        <f t="shared" si="2"/>
        <v>2</v>
      </c>
      <c r="J77" s="37" t="str">
        <f t="shared" si="3"/>
        <v>02/11</v>
      </c>
    </row>
    <row r="78" spans="1:10" x14ac:dyDescent="0.25">
      <c r="A78" s="25">
        <v>132270001</v>
      </c>
      <c r="B78" s="26">
        <v>1025</v>
      </c>
      <c r="C78" s="24" t="s">
        <v>19</v>
      </c>
      <c r="D78" s="54">
        <v>43137</v>
      </c>
      <c r="E78" s="38" t="s">
        <v>9</v>
      </c>
      <c r="F78" s="28">
        <v>4</v>
      </c>
      <c r="G78" s="27" t="s">
        <v>67</v>
      </c>
      <c r="H78" s="23" t="s">
        <v>8</v>
      </c>
      <c r="I78" s="37">
        <f t="shared" si="2"/>
        <v>2</v>
      </c>
      <c r="J78" s="37" t="str">
        <f t="shared" si="3"/>
        <v>02/11</v>
      </c>
    </row>
    <row r="79" spans="1:10" x14ac:dyDescent="0.25">
      <c r="A79" s="25">
        <v>132270001</v>
      </c>
      <c r="B79" s="26">
        <v>1025</v>
      </c>
      <c r="C79" s="24" t="s">
        <v>19</v>
      </c>
      <c r="D79" s="54">
        <v>43137</v>
      </c>
      <c r="E79" s="38" t="s">
        <v>10</v>
      </c>
      <c r="F79" s="28">
        <v>1</v>
      </c>
      <c r="G79" s="27" t="s">
        <v>67</v>
      </c>
      <c r="H79" s="29" t="s">
        <v>8</v>
      </c>
      <c r="I79" s="37">
        <f t="shared" si="2"/>
        <v>2</v>
      </c>
      <c r="J79" s="37" t="str">
        <f t="shared" si="3"/>
        <v>02/11</v>
      </c>
    </row>
    <row r="80" spans="1:10" x14ac:dyDescent="0.25">
      <c r="A80" s="25">
        <v>132170001</v>
      </c>
      <c r="B80" s="26">
        <v>1122</v>
      </c>
      <c r="C80" s="41" t="s">
        <v>22</v>
      </c>
      <c r="D80" s="54">
        <v>43138</v>
      </c>
      <c r="E80" s="38" t="s">
        <v>9</v>
      </c>
      <c r="F80" s="28">
        <v>8</v>
      </c>
      <c r="G80" s="27" t="s">
        <v>54</v>
      </c>
      <c r="H80" s="23">
        <v>2</v>
      </c>
      <c r="I80" s="37">
        <f t="shared" si="2"/>
        <v>3</v>
      </c>
      <c r="J80" s="37" t="str">
        <f t="shared" si="3"/>
        <v>02/11</v>
      </c>
    </row>
    <row r="81" spans="1:10" x14ac:dyDescent="0.25">
      <c r="A81" s="25">
        <v>132170001</v>
      </c>
      <c r="B81" s="26">
        <v>1209</v>
      </c>
      <c r="C81" s="41" t="s">
        <v>19</v>
      </c>
      <c r="D81" s="54">
        <v>43138</v>
      </c>
      <c r="E81" s="38" t="s">
        <v>9</v>
      </c>
      <c r="F81" s="28">
        <v>8</v>
      </c>
      <c r="G81" s="27" t="s">
        <v>55</v>
      </c>
      <c r="H81" s="23" t="s">
        <v>8</v>
      </c>
      <c r="I81" s="37">
        <f t="shared" si="2"/>
        <v>3</v>
      </c>
      <c r="J81" s="37" t="str">
        <f t="shared" si="3"/>
        <v>02/11</v>
      </c>
    </row>
    <row r="82" spans="1:10" x14ac:dyDescent="0.25">
      <c r="A82" s="25">
        <v>132170001</v>
      </c>
      <c r="B82" s="26">
        <v>1035</v>
      </c>
      <c r="C82" s="41" t="s">
        <v>23</v>
      </c>
      <c r="D82" s="54">
        <v>43138</v>
      </c>
      <c r="E82" s="38" t="s">
        <v>9</v>
      </c>
      <c r="F82" s="28">
        <v>8</v>
      </c>
      <c r="G82" s="27" t="s">
        <v>59</v>
      </c>
      <c r="H82" s="23" t="s">
        <v>8</v>
      </c>
      <c r="I82" s="37">
        <f t="shared" si="2"/>
        <v>3</v>
      </c>
      <c r="J82" s="37" t="str">
        <f t="shared" si="3"/>
        <v>02/11</v>
      </c>
    </row>
    <row r="83" spans="1:10" x14ac:dyDescent="0.25">
      <c r="A83" s="25">
        <v>134440001</v>
      </c>
      <c r="B83" s="26">
        <v>1035</v>
      </c>
      <c r="C83" s="24" t="s">
        <v>23</v>
      </c>
      <c r="D83" s="54">
        <v>43138</v>
      </c>
      <c r="E83" s="38" t="s">
        <v>10</v>
      </c>
      <c r="F83" s="28">
        <v>1</v>
      </c>
      <c r="G83" s="27" t="s">
        <v>59</v>
      </c>
      <c r="H83" s="23" t="s">
        <v>8</v>
      </c>
      <c r="I83" s="37">
        <f t="shared" si="2"/>
        <v>3</v>
      </c>
      <c r="J83" s="37" t="str">
        <f t="shared" si="3"/>
        <v>02/11</v>
      </c>
    </row>
    <row r="84" spans="1:10" x14ac:dyDescent="0.25">
      <c r="A84" s="25">
        <v>132170001</v>
      </c>
      <c r="B84" s="26">
        <v>1082</v>
      </c>
      <c r="C84" s="40" t="s">
        <v>19</v>
      </c>
      <c r="D84" s="54">
        <v>43138</v>
      </c>
      <c r="E84" s="38" t="s">
        <v>9</v>
      </c>
      <c r="F84" s="28">
        <v>8</v>
      </c>
      <c r="G84" s="27" t="s">
        <v>57</v>
      </c>
      <c r="H84" s="29" t="s">
        <v>8</v>
      </c>
      <c r="I84" s="37">
        <f t="shared" si="2"/>
        <v>3</v>
      </c>
      <c r="J84" s="37" t="str">
        <f t="shared" si="3"/>
        <v>02/11</v>
      </c>
    </row>
    <row r="85" spans="1:10" x14ac:dyDescent="0.25">
      <c r="A85" s="25">
        <v>132170001</v>
      </c>
      <c r="B85" s="26">
        <v>996</v>
      </c>
      <c r="C85" s="24" t="s">
        <v>21</v>
      </c>
      <c r="D85" s="54">
        <v>43138</v>
      </c>
      <c r="E85" s="38" t="s">
        <v>9</v>
      </c>
      <c r="F85" s="28">
        <v>8</v>
      </c>
      <c r="G85" s="27" t="s">
        <v>58</v>
      </c>
      <c r="H85" s="29" t="s">
        <v>8</v>
      </c>
      <c r="I85" s="37">
        <f t="shared" si="2"/>
        <v>3</v>
      </c>
      <c r="J85" s="37" t="str">
        <f t="shared" si="3"/>
        <v>02/11</v>
      </c>
    </row>
    <row r="86" spans="1:10" x14ac:dyDescent="0.25">
      <c r="A86" s="25">
        <v>132170001</v>
      </c>
      <c r="B86" s="26">
        <v>1309</v>
      </c>
      <c r="C86" s="41" t="s">
        <v>20</v>
      </c>
      <c r="D86" s="54">
        <v>43138</v>
      </c>
      <c r="E86" s="38" t="s">
        <v>9</v>
      </c>
      <c r="F86" s="28">
        <v>8</v>
      </c>
      <c r="G86" s="27" t="s">
        <v>60</v>
      </c>
      <c r="H86" s="23" t="s">
        <v>8</v>
      </c>
      <c r="I86" s="37">
        <f t="shared" si="2"/>
        <v>3</v>
      </c>
      <c r="J86" s="37" t="str">
        <f t="shared" si="3"/>
        <v>02/11</v>
      </c>
    </row>
    <row r="87" spans="1:10" x14ac:dyDescent="0.25">
      <c r="A87" s="25">
        <v>106950001</v>
      </c>
      <c r="B87" s="26">
        <v>1480</v>
      </c>
      <c r="C87" s="41" t="s">
        <v>21</v>
      </c>
      <c r="D87" s="54">
        <v>43138</v>
      </c>
      <c r="E87" s="38" t="s">
        <v>9</v>
      </c>
      <c r="F87" s="28">
        <v>8</v>
      </c>
      <c r="G87" s="27" t="s">
        <v>53</v>
      </c>
      <c r="H87" s="23" t="s">
        <v>8</v>
      </c>
      <c r="I87" s="37">
        <f t="shared" si="2"/>
        <v>3</v>
      </c>
      <c r="J87" s="37" t="str">
        <f t="shared" si="3"/>
        <v>02/11</v>
      </c>
    </row>
    <row r="88" spans="1:10" x14ac:dyDescent="0.25">
      <c r="A88" s="25">
        <v>106950001</v>
      </c>
      <c r="B88" s="26">
        <v>1480</v>
      </c>
      <c r="C88" s="41" t="s">
        <v>21</v>
      </c>
      <c r="D88" s="54">
        <v>43138</v>
      </c>
      <c r="E88" s="38" t="s">
        <v>10</v>
      </c>
      <c r="F88" s="28">
        <v>4</v>
      </c>
      <c r="G88" s="27" t="s">
        <v>53</v>
      </c>
      <c r="H88" s="23" t="s">
        <v>8</v>
      </c>
      <c r="I88" s="37">
        <f t="shared" si="2"/>
        <v>3</v>
      </c>
      <c r="J88" s="37" t="str">
        <f t="shared" si="3"/>
        <v>02/11</v>
      </c>
    </row>
    <row r="89" spans="1:10" x14ac:dyDescent="0.25">
      <c r="A89" s="25">
        <v>106950001</v>
      </c>
      <c r="B89" s="26">
        <v>1467</v>
      </c>
      <c r="C89" s="24" t="s">
        <v>21</v>
      </c>
      <c r="D89" s="54">
        <v>43138</v>
      </c>
      <c r="E89" s="38" t="s">
        <v>9</v>
      </c>
      <c r="F89" s="28">
        <v>8</v>
      </c>
      <c r="G89" s="27" t="s">
        <v>74</v>
      </c>
      <c r="H89" s="23" t="s">
        <v>8</v>
      </c>
      <c r="I89" s="37">
        <f t="shared" si="2"/>
        <v>3</v>
      </c>
      <c r="J89" s="37" t="str">
        <f t="shared" si="3"/>
        <v>02/11</v>
      </c>
    </row>
    <row r="90" spans="1:10" x14ac:dyDescent="0.25">
      <c r="A90" s="25">
        <v>106950001</v>
      </c>
      <c r="B90" s="26">
        <v>1467</v>
      </c>
      <c r="C90" s="41" t="s">
        <v>21</v>
      </c>
      <c r="D90" s="54">
        <v>43138</v>
      </c>
      <c r="E90" s="38" t="s">
        <v>10</v>
      </c>
      <c r="F90" s="28">
        <v>2</v>
      </c>
      <c r="G90" s="27" t="s">
        <v>74</v>
      </c>
      <c r="H90" s="23" t="s">
        <v>8</v>
      </c>
      <c r="I90" s="37">
        <f t="shared" si="2"/>
        <v>3</v>
      </c>
      <c r="J90" s="37" t="str">
        <f t="shared" si="3"/>
        <v>02/11</v>
      </c>
    </row>
    <row r="91" spans="1:10" x14ac:dyDescent="0.25">
      <c r="A91" s="25">
        <v>132270001</v>
      </c>
      <c r="B91" s="26">
        <v>1025</v>
      </c>
      <c r="C91" s="24" t="s">
        <v>19</v>
      </c>
      <c r="D91" s="54">
        <v>43138</v>
      </c>
      <c r="E91" s="38" t="s">
        <v>9</v>
      </c>
      <c r="F91" s="28">
        <v>8</v>
      </c>
      <c r="G91" s="27" t="s">
        <v>67</v>
      </c>
      <c r="H91" s="23" t="s">
        <v>8</v>
      </c>
      <c r="I91" s="37">
        <f t="shared" si="2"/>
        <v>3</v>
      </c>
      <c r="J91" s="37" t="str">
        <f t="shared" si="3"/>
        <v>02/11</v>
      </c>
    </row>
    <row r="92" spans="1:10" x14ac:dyDescent="0.25">
      <c r="A92" s="25">
        <v>132270001</v>
      </c>
      <c r="B92" s="26">
        <v>1025</v>
      </c>
      <c r="C92" s="24" t="s">
        <v>19</v>
      </c>
      <c r="D92" s="54">
        <v>43138</v>
      </c>
      <c r="E92" s="38" t="s">
        <v>10</v>
      </c>
      <c r="F92" s="28">
        <v>1.5</v>
      </c>
      <c r="G92" s="27" t="s">
        <v>67</v>
      </c>
      <c r="H92" s="23" t="s">
        <v>8</v>
      </c>
      <c r="I92" s="37">
        <f t="shared" si="2"/>
        <v>3</v>
      </c>
      <c r="J92" s="37" t="str">
        <f t="shared" si="3"/>
        <v>02/11</v>
      </c>
    </row>
    <row r="93" spans="1:10" x14ac:dyDescent="0.25">
      <c r="A93" s="25">
        <v>132270001</v>
      </c>
      <c r="B93" s="26">
        <v>1027</v>
      </c>
      <c r="C93" s="24" t="s">
        <v>22</v>
      </c>
      <c r="D93" s="54">
        <v>43138</v>
      </c>
      <c r="E93" s="38" t="s">
        <v>9</v>
      </c>
      <c r="F93" s="28">
        <v>8</v>
      </c>
      <c r="G93" s="27" t="s">
        <v>68</v>
      </c>
      <c r="H93" s="23">
        <v>2</v>
      </c>
      <c r="I93" s="37">
        <f t="shared" si="2"/>
        <v>3</v>
      </c>
      <c r="J93" s="37" t="str">
        <f t="shared" si="3"/>
        <v>02/11</v>
      </c>
    </row>
    <row r="94" spans="1:10" x14ac:dyDescent="0.25">
      <c r="A94" s="25">
        <v>132270001</v>
      </c>
      <c r="B94" s="26">
        <v>1027</v>
      </c>
      <c r="C94" s="24" t="s">
        <v>22</v>
      </c>
      <c r="D94" s="54">
        <v>43138</v>
      </c>
      <c r="E94" s="38" t="s">
        <v>10</v>
      </c>
      <c r="F94" s="28">
        <v>1</v>
      </c>
      <c r="G94" s="27" t="s">
        <v>68</v>
      </c>
      <c r="H94" s="23">
        <v>2</v>
      </c>
      <c r="I94" s="37">
        <f t="shared" si="2"/>
        <v>3</v>
      </c>
      <c r="J94" s="37" t="str">
        <f t="shared" si="3"/>
        <v>02/11</v>
      </c>
    </row>
    <row r="95" spans="1:10" x14ac:dyDescent="0.25">
      <c r="A95" s="25">
        <v>132270001</v>
      </c>
      <c r="B95" s="26">
        <v>1121</v>
      </c>
      <c r="C95" s="24" t="s">
        <v>21</v>
      </c>
      <c r="D95" s="54">
        <v>43138</v>
      </c>
      <c r="E95" s="38" t="s">
        <v>9</v>
      </c>
      <c r="F95" s="28">
        <v>8</v>
      </c>
      <c r="G95" s="27" t="s">
        <v>69</v>
      </c>
      <c r="H95" s="23" t="s">
        <v>8</v>
      </c>
      <c r="I95" s="37">
        <f t="shared" si="2"/>
        <v>3</v>
      </c>
      <c r="J95" s="37" t="str">
        <f t="shared" si="3"/>
        <v>02/11</v>
      </c>
    </row>
    <row r="96" spans="1:10" x14ac:dyDescent="0.25">
      <c r="A96" s="25">
        <v>132270001</v>
      </c>
      <c r="B96" s="26">
        <v>1121</v>
      </c>
      <c r="C96" s="40" t="s">
        <v>21</v>
      </c>
      <c r="D96" s="54">
        <v>43138</v>
      </c>
      <c r="E96" s="38" t="s">
        <v>10</v>
      </c>
      <c r="F96" s="28">
        <v>0.5</v>
      </c>
      <c r="G96" s="27" t="s">
        <v>69</v>
      </c>
      <c r="H96" s="23" t="s">
        <v>8</v>
      </c>
      <c r="I96" s="37">
        <f t="shared" si="2"/>
        <v>3</v>
      </c>
      <c r="J96" s="37" t="str">
        <f t="shared" si="3"/>
        <v>02/11</v>
      </c>
    </row>
    <row r="97" spans="1:10" x14ac:dyDescent="0.25">
      <c r="A97" s="25">
        <v>132270001</v>
      </c>
      <c r="B97" s="26">
        <v>1360</v>
      </c>
      <c r="C97" s="40" t="s">
        <v>24</v>
      </c>
      <c r="D97" s="54">
        <v>43138</v>
      </c>
      <c r="E97" s="38" t="s">
        <v>9</v>
      </c>
      <c r="F97" s="28">
        <v>8</v>
      </c>
      <c r="G97" s="27" t="s">
        <v>56</v>
      </c>
      <c r="H97" s="23">
        <v>4</v>
      </c>
      <c r="I97" s="37">
        <f t="shared" si="2"/>
        <v>3</v>
      </c>
      <c r="J97" s="37" t="str">
        <f t="shared" si="3"/>
        <v>02/11</v>
      </c>
    </row>
    <row r="98" spans="1:10" x14ac:dyDescent="0.25">
      <c r="A98" s="25">
        <v>132270001</v>
      </c>
      <c r="B98" s="26">
        <v>1360</v>
      </c>
      <c r="C98" s="24" t="s">
        <v>24</v>
      </c>
      <c r="D98" s="54">
        <v>43138</v>
      </c>
      <c r="E98" s="38" t="s">
        <v>10</v>
      </c>
      <c r="F98" s="28">
        <v>0.5</v>
      </c>
      <c r="G98" s="27" t="s">
        <v>56</v>
      </c>
      <c r="H98" s="23">
        <v>4</v>
      </c>
      <c r="I98" s="37">
        <f t="shared" si="2"/>
        <v>3</v>
      </c>
      <c r="J98" s="37" t="str">
        <f t="shared" si="3"/>
        <v>02/11</v>
      </c>
    </row>
    <row r="99" spans="1:10" x14ac:dyDescent="0.25">
      <c r="A99" s="25">
        <v>132270001</v>
      </c>
      <c r="B99" s="26">
        <v>1120</v>
      </c>
      <c r="C99" s="24" t="s">
        <v>21</v>
      </c>
      <c r="D99" s="54">
        <v>43138</v>
      </c>
      <c r="E99" s="38" t="s">
        <v>9</v>
      </c>
      <c r="F99" s="28">
        <v>8</v>
      </c>
      <c r="G99" s="27" t="s">
        <v>70</v>
      </c>
      <c r="H99" s="23" t="s">
        <v>8</v>
      </c>
      <c r="I99" s="37">
        <f t="shared" si="2"/>
        <v>3</v>
      </c>
      <c r="J99" s="37" t="str">
        <f t="shared" si="3"/>
        <v>02/11</v>
      </c>
    </row>
    <row r="100" spans="1:10" x14ac:dyDescent="0.25">
      <c r="A100" s="25">
        <v>132270001</v>
      </c>
      <c r="B100" s="26">
        <v>1120</v>
      </c>
      <c r="C100" s="24" t="s">
        <v>21</v>
      </c>
      <c r="D100" s="54">
        <v>43138</v>
      </c>
      <c r="E100" s="38" t="s">
        <v>10</v>
      </c>
      <c r="F100" s="28">
        <v>0.5</v>
      </c>
      <c r="G100" s="27" t="s">
        <v>70</v>
      </c>
      <c r="H100" s="23" t="s">
        <v>8</v>
      </c>
      <c r="I100" s="37">
        <f t="shared" si="2"/>
        <v>3</v>
      </c>
      <c r="J100" s="37" t="str">
        <f t="shared" si="3"/>
        <v>02/11</v>
      </c>
    </row>
    <row r="101" spans="1:10" x14ac:dyDescent="0.25">
      <c r="A101" s="25">
        <v>132270001</v>
      </c>
      <c r="B101" s="26">
        <v>1354</v>
      </c>
      <c r="C101" s="24" t="s">
        <v>21</v>
      </c>
      <c r="D101" s="54">
        <v>43138</v>
      </c>
      <c r="E101" s="38" t="s">
        <v>9</v>
      </c>
      <c r="F101" s="28">
        <v>8</v>
      </c>
      <c r="G101" s="27" t="s">
        <v>71</v>
      </c>
      <c r="H101" s="23" t="s">
        <v>8</v>
      </c>
      <c r="I101" s="37">
        <f t="shared" si="2"/>
        <v>3</v>
      </c>
      <c r="J101" s="37" t="str">
        <f t="shared" si="3"/>
        <v>02/11</v>
      </c>
    </row>
    <row r="102" spans="1:10" x14ac:dyDescent="0.25">
      <c r="A102" s="25">
        <v>132270001</v>
      </c>
      <c r="B102" s="26">
        <v>1354</v>
      </c>
      <c r="C102" s="24" t="s">
        <v>21</v>
      </c>
      <c r="D102" s="54">
        <v>43138</v>
      </c>
      <c r="E102" s="38" t="s">
        <v>10</v>
      </c>
      <c r="F102" s="28">
        <v>0.5</v>
      </c>
      <c r="G102" s="27" t="s">
        <v>71</v>
      </c>
      <c r="H102" s="23" t="s">
        <v>8</v>
      </c>
      <c r="I102" s="37">
        <f t="shared" si="2"/>
        <v>3</v>
      </c>
      <c r="J102" s="37" t="str">
        <f t="shared" si="3"/>
        <v>02/11</v>
      </c>
    </row>
    <row r="103" spans="1:10" x14ac:dyDescent="0.25">
      <c r="A103" s="25">
        <v>132270001</v>
      </c>
      <c r="B103" s="26">
        <v>1212</v>
      </c>
      <c r="C103" s="24" t="s">
        <v>20</v>
      </c>
      <c r="D103" s="54">
        <v>43138</v>
      </c>
      <c r="E103" s="38" t="s">
        <v>9</v>
      </c>
      <c r="F103" s="28">
        <v>8</v>
      </c>
      <c r="G103" s="27" t="s">
        <v>72</v>
      </c>
      <c r="H103" s="29" t="s">
        <v>8</v>
      </c>
      <c r="I103" s="37">
        <f t="shared" si="2"/>
        <v>3</v>
      </c>
      <c r="J103" s="37" t="str">
        <f t="shared" si="3"/>
        <v>02/11</v>
      </c>
    </row>
    <row r="104" spans="1:10" x14ac:dyDescent="0.25">
      <c r="A104" s="25">
        <v>132270001</v>
      </c>
      <c r="B104" s="26">
        <v>1212</v>
      </c>
      <c r="C104" s="24" t="s">
        <v>20</v>
      </c>
      <c r="D104" s="54">
        <v>43138</v>
      </c>
      <c r="E104" s="38" t="s">
        <v>10</v>
      </c>
      <c r="F104" s="28">
        <v>0.5</v>
      </c>
      <c r="G104" s="27" t="s">
        <v>72</v>
      </c>
      <c r="H104" s="29" t="s">
        <v>8</v>
      </c>
      <c r="I104" s="37">
        <f t="shared" si="2"/>
        <v>3</v>
      </c>
      <c r="J104" s="37" t="str">
        <f t="shared" si="3"/>
        <v>02/11</v>
      </c>
    </row>
    <row r="105" spans="1:10" x14ac:dyDescent="0.25">
      <c r="A105" s="25">
        <v>133980001</v>
      </c>
      <c r="B105" s="26">
        <v>1007</v>
      </c>
      <c r="C105" s="24" t="s">
        <v>19</v>
      </c>
      <c r="D105" s="54">
        <v>43138</v>
      </c>
      <c r="E105" s="38" t="s">
        <v>9</v>
      </c>
      <c r="F105" s="28">
        <v>3</v>
      </c>
      <c r="G105" s="27" t="s">
        <v>61</v>
      </c>
      <c r="H105" s="23" t="s">
        <v>8</v>
      </c>
      <c r="I105" s="37">
        <f t="shared" si="2"/>
        <v>3</v>
      </c>
      <c r="J105" s="37" t="str">
        <f t="shared" si="3"/>
        <v>02/11</v>
      </c>
    </row>
    <row r="106" spans="1:10" x14ac:dyDescent="0.25">
      <c r="A106" s="25">
        <v>132490001</v>
      </c>
      <c r="B106" s="26">
        <v>1007</v>
      </c>
      <c r="C106" s="24" t="s">
        <v>19</v>
      </c>
      <c r="D106" s="54">
        <v>43138</v>
      </c>
      <c r="E106" s="38" t="s">
        <v>9</v>
      </c>
      <c r="F106" s="28">
        <v>3</v>
      </c>
      <c r="G106" s="27" t="s">
        <v>61</v>
      </c>
      <c r="H106" s="23" t="s">
        <v>8</v>
      </c>
      <c r="I106" s="37">
        <f t="shared" si="2"/>
        <v>3</v>
      </c>
      <c r="J106" s="37" t="str">
        <f t="shared" si="3"/>
        <v>02/11</v>
      </c>
    </row>
    <row r="107" spans="1:10" x14ac:dyDescent="0.25">
      <c r="A107" s="25">
        <v>132490001</v>
      </c>
      <c r="B107" s="26">
        <v>1047</v>
      </c>
      <c r="C107" s="24" t="s">
        <v>21</v>
      </c>
      <c r="D107" s="54">
        <v>43138</v>
      </c>
      <c r="E107" s="38" t="s">
        <v>9</v>
      </c>
      <c r="F107" s="28">
        <v>7</v>
      </c>
      <c r="G107" s="27" t="s">
        <v>63</v>
      </c>
      <c r="H107" s="23" t="s">
        <v>8</v>
      </c>
      <c r="I107" s="37">
        <f t="shared" si="2"/>
        <v>3</v>
      </c>
      <c r="J107" s="37" t="str">
        <f t="shared" si="3"/>
        <v>02/11</v>
      </c>
    </row>
    <row r="108" spans="1:10" x14ac:dyDescent="0.25">
      <c r="A108" s="25">
        <v>132270001</v>
      </c>
      <c r="B108" s="26">
        <v>1032</v>
      </c>
      <c r="C108" s="24" t="s">
        <v>21</v>
      </c>
      <c r="D108" s="54">
        <v>43138</v>
      </c>
      <c r="E108" s="38" t="s">
        <v>9</v>
      </c>
      <c r="F108" s="28">
        <v>8</v>
      </c>
      <c r="G108" s="27" t="s">
        <v>62</v>
      </c>
      <c r="H108" s="23" t="s">
        <v>8</v>
      </c>
      <c r="I108" s="37">
        <f t="shared" si="2"/>
        <v>3</v>
      </c>
      <c r="J108" s="37" t="str">
        <f t="shared" si="3"/>
        <v>02/11</v>
      </c>
    </row>
    <row r="109" spans="1:10" x14ac:dyDescent="0.25">
      <c r="A109" s="25">
        <v>132270001</v>
      </c>
      <c r="B109" s="26">
        <v>1032</v>
      </c>
      <c r="C109" s="24" t="s">
        <v>21</v>
      </c>
      <c r="D109" s="54">
        <v>43138</v>
      </c>
      <c r="E109" s="38" t="s">
        <v>10</v>
      </c>
      <c r="F109" s="28">
        <v>1.5</v>
      </c>
      <c r="G109" s="27" t="s">
        <v>62</v>
      </c>
      <c r="H109" s="23" t="s">
        <v>8</v>
      </c>
      <c r="I109" s="37">
        <f t="shared" si="2"/>
        <v>3</v>
      </c>
      <c r="J109" s="37" t="str">
        <f t="shared" si="3"/>
        <v>02/11</v>
      </c>
    </row>
    <row r="110" spans="1:10" x14ac:dyDescent="0.25">
      <c r="A110" s="25">
        <v>133980001</v>
      </c>
      <c r="B110" s="26">
        <v>1253</v>
      </c>
      <c r="C110" s="24" t="s">
        <v>21</v>
      </c>
      <c r="D110" s="54">
        <v>43138</v>
      </c>
      <c r="E110" s="38" t="s">
        <v>9</v>
      </c>
      <c r="F110" s="28">
        <v>7</v>
      </c>
      <c r="G110" s="27" t="s">
        <v>65</v>
      </c>
      <c r="H110" s="23" t="s">
        <v>8</v>
      </c>
      <c r="I110" s="37">
        <f t="shared" si="2"/>
        <v>3</v>
      </c>
      <c r="J110" s="37" t="str">
        <f t="shared" si="3"/>
        <v>02/11</v>
      </c>
    </row>
    <row r="111" spans="1:10" x14ac:dyDescent="0.25">
      <c r="A111" s="25">
        <v>133910001</v>
      </c>
      <c r="B111" s="26">
        <v>1437</v>
      </c>
      <c r="C111" s="24" t="s">
        <v>21</v>
      </c>
      <c r="D111" s="54">
        <v>43138</v>
      </c>
      <c r="E111" s="38" t="s">
        <v>9</v>
      </c>
      <c r="F111" s="28">
        <v>5</v>
      </c>
      <c r="G111" s="27" t="s">
        <v>64</v>
      </c>
      <c r="H111" s="23" t="s">
        <v>8</v>
      </c>
      <c r="I111" s="37">
        <f t="shared" si="2"/>
        <v>3</v>
      </c>
      <c r="J111" s="37" t="str">
        <f t="shared" si="3"/>
        <v>02/11</v>
      </c>
    </row>
    <row r="112" spans="1:10" x14ac:dyDescent="0.25">
      <c r="A112" s="25">
        <v>131220004</v>
      </c>
      <c r="B112" s="26">
        <v>1437</v>
      </c>
      <c r="C112" s="24" t="s">
        <v>21</v>
      </c>
      <c r="D112" s="54">
        <v>43138</v>
      </c>
      <c r="E112" s="38" t="s">
        <v>9</v>
      </c>
      <c r="F112" s="28">
        <v>3</v>
      </c>
      <c r="G112" s="27" t="s">
        <v>64</v>
      </c>
      <c r="H112" s="29" t="s">
        <v>8</v>
      </c>
      <c r="I112" s="37">
        <f t="shared" si="2"/>
        <v>3</v>
      </c>
      <c r="J112" s="37" t="str">
        <f t="shared" si="3"/>
        <v>02/11</v>
      </c>
    </row>
    <row r="113" spans="1:10" x14ac:dyDescent="0.25">
      <c r="A113" s="25">
        <v>131220004</v>
      </c>
      <c r="B113" s="26">
        <v>1437</v>
      </c>
      <c r="C113" s="24" t="s">
        <v>21</v>
      </c>
      <c r="D113" s="54">
        <v>43138</v>
      </c>
      <c r="E113" s="38" t="s">
        <v>10</v>
      </c>
      <c r="F113" s="28">
        <v>1</v>
      </c>
      <c r="G113" s="27" t="s">
        <v>64</v>
      </c>
      <c r="H113" s="29" t="s">
        <v>8</v>
      </c>
      <c r="I113" s="37">
        <f t="shared" si="2"/>
        <v>3</v>
      </c>
      <c r="J113" s="37" t="str">
        <f t="shared" si="3"/>
        <v>02/11</v>
      </c>
    </row>
    <row r="114" spans="1:10" x14ac:dyDescent="0.25">
      <c r="A114" s="25">
        <v>106950001</v>
      </c>
      <c r="B114" s="26">
        <v>1467</v>
      </c>
      <c r="C114" s="24" t="s">
        <v>21</v>
      </c>
      <c r="D114" s="54">
        <v>43139</v>
      </c>
      <c r="E114" s="38" t="s">
        <v>9</v>
      </c>
      <c r="F114" s="28">
        <v>8</v>
      </c>
      <c r="G114" s="27" t="s">
        <v>74</v>
      </c>
      <c r="H114" s="29" t="s">
        <v>8</v>
      </c>
      <c r="I114" s="37">
        <f t="shared" si="2"/>
        <v>4</v>
      </c>
      <c r="J114" s="37" t="str">
        <f t="shared" si="3"/>
        <v>02/11</v>
      </c>
    </row>
    <row r="115" spans="1:10" x14ac:dyDescent="0.25">
      <c r="A115" s="25">
        <v>106950001</v>
      </c>
      <c r="B115" s="26">
        <v>1467</v>
      </c>
      <c r="C115" s="24" t="s">
        <v>21</v>
      </c>
      <c r="D115" s="54">
        <v>43139</v>
      </c>
      <c r="E115" s="38" t="s">
        <v>10</v>
      </c>
      <c r="F115" s="28">
        <v>2</v>
      </c>
      <c r="G115" s="27" t="s">
        <v>74</v>
      </c>
      <c r="H115" s="29" t="s">
        <v>8</v>
      </c>
      <c r="I115" s="37">
        <f t="shared" si="2"/>
        <v>4</v>
      </c>
      <c r="J115" s="37" t="str">
        <f t="shared" si="3"/>
        <v>02/11</v>
      </c>
    </row>
    <row r="116" spans="1:10" x14ac:dyDescent="0.25">
      <c r="A116" s="25">
        <v>106950001</v>
      </c>
      <c r="B116" s="26">
        <v>1480</v>
      </c>
      <c r="C116" s="24" t="s">
        <v>21</v>
      </c>
      <c r="D116" s="54">
        <v>43139</v>
      </c>
      <c r="E116" s="38" t="s">
        <v>9</v>
      </c>
      <c r="F116" s="28">
        <v>8</v>
      </c>
      <c r="G116" s="27" t="s">
        <v>53</v>
      </c>
      <c r="H116" s="23" t="s">
        <v>8</v>
      </c>
      <c r="I116" s="37">
        <f t="shared" ref="I116:I179" si="4">WEEKDAY(D116,2)</f>
        <v>4</v>
      </c>
      <c r="J116" s="37" t="str">
        <f t="shared" si="3"/>
        <v>02/11</v>
      </c>
    </row>
    <row r="117" spans="1:10" x14ac:dyDescent="0.25">
      <c r="A117" s="25">
        <v>106950001</v>
      </c>
      <c r="B117" s="26">
        <v>1480</v>
      </c>
      <c r="C117" s="24" t="s">
        <v>21</v>
      </c>
      <c r="D117" s="54">
        <v>43139</v>
      </c>
      <c r="E117" s="38" t="s">
        <v>10</v>
      </c>
      <c r="F117" s="28">
        <v>4</v>
      </c>
      <c r="G117" s="27" t="s">
        <v>53</v>
      </c>
      <c r="H117" s="23" t="s">
        <v>8</v>
      </c>
      <c r="I117" s="37">
        <f t="shared" si="4"/>
        <v>4</v>
      </c>
      <c r="J117" s="37" t="str">
        <f t="shared" si="3"/>
        <v>02/11</v>
      </c>
    </row>
    <row r="118" spans="1:10" x14ac:dyDescent="0.25">
      <c r="A118" s="25">
        <v>132490001</v>
      </c>
      <c r="B118" s="26">
        <v>1032</v>
      </c>
      <c r="C118" s="24" t="s">
        <v>21</v>
      </c>
      <c r="D118" s="54">
        <v>43139</v>
      </c>
      <c r="E118" s="38" t="s">
        <v>9</v>
      </c>
      <c r="F118" s="28">
        <v>8</v>
      </c>
      <c r="G118" s="27" t="s">
        <v>62</v>
      </c>
      <c r="H118" s="23" t="s">
        <v>8</v>
      </c>
      <c r="I118" s="37">
        <f t="shared" si="4"/>
        <v>4</v>
      </c>
      <c r="J118" s="37" t="str">
        <f t="shared" si="3"/>
        <v>02/11</v>
      </c>
    </row>
    <row r="119" spans="1:10" x14ac:dyDescent="0.25">
      <c r="A119" s="25">
        <v>91650001</v>
      </c>
      <c r="B119" s="26">
        <v>1437</v>
      </c>
      <c r="C119" s="24" t="s">
        <v>21</v>
      </c>
      <c r="D119" s="54">
        <v>43139</v>
      </c>
      <c r="E119" s="38" t="s">
        <v>9</v>
      </c>
      <c r="F119" s="28">
        <v>3</v>
      </c>
      <c r="G119" s="27" t="s">
        <v>64</v>
      </c>
      <c r="H119" s="23" t="s">
        <v>8</v>
      </c>
      <c r="I119" s="37">
        <f t="shared" si="4"/>
        <v>4</v>
      </c>
      <c r="J119" s="37" t="str">
        <f t="shared" si="3"/>
        <v>02/11</v>
      </c>
    </row>
    <row r="120" spans="1:10" x14ac:dyDescent="0.25">
      <c r="A120" s="25">
        <v>132490001</v>
      </c>
      <c r="B120" s="26">
        <v>1437</v>
      </c>
      <c r="C120" s="24" t="s">
        <v>21</v>
      </c>
      <c r="D120" s="54">
        <v>43139</v>
      </c>
      <c r="E120" s="38" t="s">
        <v>9</v>
      </c>
      <c r="F120" s="28">
        <v>5</v>
      </c>
      <c r="G120" s="27" t="s">
        <v>64</v>
      </c>
      <c r="H120" s="23" t="s">
        <v>8</v>
      </c>
      <c r="I120" s="37">
        <f t="shared" si="4"/>
        <v>4</v>
      </c>
      <c r="J120" s="37" t="str">
        <f t="shared" si="3"/>
        <v>02/11</v>
      </c>
    </row>
    <row r="121" spans="1:10" x14ac:dyDescent="0.25">
      <c r="A121" s="25">
        <v>91650001</v>
      </c>
      <c r="B121" s="26">
        <v>1253</v>
      </c>
      <c r="C121" s="24" t="s">
        <v>21</v>
      </c>
      <c r="D121" s="54">
        <v>43139</v>
      </c>
      <c r="E121" s="38" t="s">
        <v>9</v>
      </c>
      <c r="F121" s="28">
        <v>3</v>
      </c>
      <c r="G121" s="27" t="s">
        <v>65</v>
      </c>
      <c r="H121" s="23" t="s">
        <v>8</v>
      </c>
      <c r="I121" s="37">
        <f t="shared" si="4"/>
        <v>4</v>
      </c>
      <c r="J121" s="37" t="str">
        <f t="shared" si="3"/>
        <v>02/11</v>
      </c>
    </row>
    <row r="122" spans="1:10" x14ac:dyDescent="0.25">
      <c r="A122" s="25">
        <v>133980001</v>
      </c>
      <c r="B122" s="26">
        <v>1253</v>
      </c>
      <c r="C122" s="24" t="s">
        <v>21</v>
      </c>
      <c r="D122" s="54">
        <v>43139</v>
      </c>
      <c r="E122" s="38" t="s">
        <v>9</v>
      </c>
      <c r="F122" s="28">
        <v>5</v>
      </c>
      <c r="G122" s="27" t="s">
        <v>65</v>
      </c>
      <c r="H122" s="23" t="s">
        <v>8</v>
      </c>
      <c r="I122" s="37">
        <f t="shared" si="4"/>
        <v>4</v>
      </c>
      <c r="J122" s="37" t="str">
        <f t="shared" si="3"/>
        <v>02/11</v>
      </c>
    </row>
    <row r="123" spans="1:10" x14ac:dyDescent="0.25">
      <c r="A123" s="25">
        <v>91650001</v>
      </c>
      <c r="B123" s="26">
        <v>1047</v>
      </c>
      <c r="C123" s="24" t="s">
        <v>21</v>
      </c>
      <c r="D123" s="54">
        <v>43139</v>
      </c>
      <c r="E123" s="38" t="s">
        <v>9</v>
      </c>
      <c r="F123" s="28">
        <v>3</v>
      </c>
      <c r="G123" s="27" t="s">
        <v>63</v>
      </c>
      <c r="H123" s="29" t="s">
        <v>8</v>
      </c>
      <c r="I123" s="37">
        <f t="shared" si="4"/>
        <v>4</v>
      </c>
      <c r="J123" s="37" t="str">
        <f t="shared" si="3"/>
        <v>02/11</v>
      </c>
    </row>
    <row r="124" spans="1:10" x14ac:dyDescent="0.25">
      <c r="A124" s="25">
        <v>133980001</v>
      </c>
      <c r="B124" s="26">
        <v>1047</v>
      </c>
      <c r="C124" s="24" t="s">
        <v>21</v>
      </c>
      <c r="D124" s="54">
        <v>43139</v>
      </c>
      <c r="E124" s="38" t="s">
        <v>9</v>
      </c>
      <c r="F124" s="28">
        <v>5</v>
      </c>
      <c r="G124" s="27" t="s">
        <v>63</v>
      </c>
      <c r="H124" s="29" t="s">
        <v>8</v>
      </c>
      <c r="I124" s="37">
        <f t="shared" si="4"/>
        <v>4</v>
      </c>
      <c r="J124" s="37" t="str">
        <f t="shared" si="3"/>
        <v>02/11</v>
      </c>
    </row>
    <row r="125" spans="1:10" x14ac:dyDescent="0.25">
      <c r="A125" s="25">
        <v>132170001</v>
      </c>
      <c r="B125" s="26">
        <v>1007</v>
      </c>
      <c r="C125" s="24" t="s">
        <v>19</v>
      </c>
      <c r="D125" s="54">
        <v>43139</v>
      </c>
      <c r="E125" s="38" t="s">
        <v>9</v>
      </c>
      <c r="F125" s="28">
        <v>4</v>
      </c>
      <c r="G125" s="27" t="s">
        <v>61</v>
      </c>
      <c r="H125" s="29" t="s">
        <v>8</v>
      </c>
      <c r="I125" s="37">
        <f t="shared" si="4"/>
        <v>4</v>
      </c>
      <c r="J125" s="37" t="str">
        <f t="shared" si="3"/>
        <v>02/11</v>
      </c>
    </row>
    <row r="126" spans="1:10" x14ac:dyDescent="0.25">
      <c r="A126" s="25">
        <v>132270001</v>
      </c>
      <c r="B126" s="26">
        <v>1025</v>
      </c>
      <c r="C126" s="24" t="s">
        <v>19</v>
      </c>
      <c r="D126" s="54">
        <v>43139</v>
      </c>
      <c r="E126" s="38" t="s">
        <v>9</v>
      </c>
      <c r="F126" s="28">
        <v>8</v>
      </c>
      <c r="G126" s="27" t="s">
        <v>67</v>
      </c>
      <c r="H126" s="29" t="s">
        <v>8</v>
      </c>
      <c r="I126" s="37">
        <f t="shared" si="4"/>
        <v>4</v>
      </c>
      <c r="J126" s="37" t="str">
        <f t="shared" si="3"/>
        <v>02/11</v>
      </c>
    </row>
    <row r="127" spans="1:10" x14ac:dyDescent="0.25">
      <c r="A127" s="25">
        <v>132270001</v>
      </c>
      <c r="B127" s="26">
        <v>1025</v>
      </c>
      <c r="C127" s="24" t="s">
        <v>19</v>
      </c>
      <c r="D127" s="54">
        <v>43139</v>
      </c>
      <c r="E127" s="38" t="s">
        <v>10</v>
      </c>
      <c r="F127" s="28">
        <v>0.5</v>
      </c>
      <c r="G127" s="27" t="s">
        <v>67</v>
      </c>
      <c r="H127" s="23" t="s">
        <v>8</v>
      </c>
      <c r="I127" s="37">
        <f t="shared" si="4"/>
        <v>4</v>
      </c>
      <c r="J127" s="37" t="str">
        <f t="shared" si="3"/>
        <v>02/11</v>
      </c>
    </row>
    <row r="128" spans="1:10" x14ac:dyDescent="0.25">
      <c r="A128" s="25">
        <v>132270001</v>
      </c>
      <c r="B128" s="26">
        <v>1027</v>
      </c>
      <c r="C128" s="24" t="s">
        <v>22</v>
      </c>
      <c r="D128" s="54">
        <v>43139</v>
      </c>
      <c r="E128" s="38" t="s">
        <v>9</v>
      </c>
      <c r="F128" s="28">
        <v>8</v>
      </c>
      <c r="G128" s="27" t="s">
        <v>68</v>
      </c>
      <c r="H128" s="23">
        <v>2</v>
      </c>
      <c r="I128" s="37">
        <f t="shared" si="4"/>
        <v>4</v>
      </c>
      <c r="J128" s="37" t="str">
        <f t="shared" si="3"/>
        <v>02/11</v>
      </c>
    </row>
    <row r="129" spans="1:10" x14ac:dyDescent="0.25">
      <c r="A129" s="25">
        <v>132270001</v>
      </c>
      <c r="B129" s="26">
        <v>1027</v>
      </c>
      <c r="C129" s="24" t="s">
        <v>22</v>
      </c>
      <c r="D129" s="54">
        <v>43139</v>
      </c>
      <c r="E129" s="38" t="s">
        <v>10</v>
      </c>
      <c r="F129" s="28">
        <v>0.5</v>
      </c>
      <c r="G129" s="27" t="s">
        <v>68</v>
      </c>
      <c r="H129" s="23">
        <v>2</v>
      </c>
      <c r="I129" s="37">
        <f t="shared" si="4"/>
        <v>4</v>
      </c>
      <c r="J129" s="37" t="str">
        <f t="shared" si="3"/>
        <v>02/11</v>
      </c>
    </row>
    <row r="130" spans="1:10" x14ac:dyDescent="0.25">
      <c r="A130" s="25">
        <v>132270001</v>
      </c>
      <c r="B130" s="26">
        <v>1121</v>
      </c>
      <c r="C130" s="24" t="s">
        <v>21</v>
      </c>
      <c r="D130" s="54">
        <v>43139</v>
      </c>
      <c r="E130" s="38" t="s">
        <v>9</v>
      </c>
      <c r="F130" s="28">
        <v>8</v>
      </c>
      <c r="G130" s="27" t="s">
        <v>69</v>
      </c>
      <c r="H130" s="23" t="s">
        <v>8</v>
      </c>
      <c r="I130" s="37">
        <f t="shared" si="4"/>
        <v>4</v>
      </c>
      <c r="J130" s="37" t="str">
        <f t="shared" ref="J130:J193" si="5">TEXT(IF(I130= 1,D130+6, IF(I130= 2, D130+5, IF(I130= 3,D130+4, IF(I130= 4, D130+3, IF(I130= 5, D130+2, IF(I130= 6, D130+1, IF(I130=7,D130+0))))))),"mm/dd")</f>
        <v>02/11</v>
      </c>
    </row>
    <row r="131" spans="1:10" x14ac:dyDescent="0.25">
      <c r="A131" s="25">
        <v>132270001</v>
      </c>
      <c r="B131" s="26">
        <v>1121</v>
      </c>
      <c r="C131" s="24" t="s">
        <v>21</v>
      </c>
      <c r="D131" s="54">
        <v>43139</v>
      </c>
      <c r="E131" s="38" t="s">
        <v>10</v>
      </c>
      <c r="F131" s="28">
        <v>0.5</v>
      </c>
      <c r="G131" s="27" t="s">
        <v>69</v>
      </c>
      <c r="H131" s="23" t="s">
        <v>8</v>
      </c>
      <c r="I131" s="37">
        <f t="shared" si="4"/>
        <v>4</v>
      </c>
      <c r="J131" s="37" t="str">
        <f t="shared" si="5"/>
        <v>02/11</v>
      </c>
    </row>
    <row r="132" spans="1:10" x14ac:dyDescent="0.25">
      <c r="A132" s="25">
        <v>132270001</v>
      </c>
      <c r="B132" s="26">
        <v>1360</v>
      </c>
      <c r="C132" s="24" t="s">
        <v>24</v>
      </c>
      <c r="D132" s="54">
        <v>43139</v>
      </c>
      <c r="E132" s="38" t="s">
        <v>9</v>
      </c>
      <c r="F132" s="28">
        <v>8</v>
      </c>
      <c r="G132" s="27" t="s">
        <v>56</v>
      </c>
      <c r="H132" s="23">
        <v>4</v>
      </c>
      <c r="I132" s="37">
        <f t="shared" si="4"/>
        <v>4</v>
      </c>
      <c r="J132" s="37" t="str">
        <f t="shared" si="5"/>
        <v>02/11</v>
      </c>
    </row>
    <row r="133" spans="1:10" x14ac:dyDescent="0.25">
      <c r="A133" s="25">
        <v>132270001</v>
      </c>
      <c r="B133" s="26">
        <v>1360</v>
      </c>
      <c r="C133" s="24" t="s">
        <v>24</v>
      </c>
      <c r="D133" s="54">
        <v>43139</v>
      </c>
      <c r="E133" s="38" t="s">
        <v>10</v>
      </c>
      <c r="F133" s="28">
        <v>0.5</v>
      </c>
      <c r="G133" s="27" t="s">
        <v>56</v>
      </c>
      <c r="H133" s="23">
        <v>4</v>
      </c>
      <c r="I133" s="37">
        <f t="shared" si="4"/>
        <v>4</v>
      </c>
      <c r="J133" s="37" t="str">
        <f t="shared" si="5"/>
        <v>02/11</v>
      </c>
    </row>
    <row r="134" spans="1:10" x14ac:dyDescent="0.25">
      <c r="A134" s="25">
        <v>132270001</v>
      </c>
      <c r="B134" s="26">
        <v>1120</v>
      </c>
      <c r="C134" s="24" t="s">
        <v>21</v>
      </c>
      <c r="D134" s="54">
        <v>43139</v>
      </c>
      <c r="E134" s="38" t="s">
        <v>9</v>
      </c>
      <c r="F134" s="28">
        <v>8</v>
      </c>
      <c r="G134" s="27" t="s">
        <v>70</v>
      </c>
      <c r="H134" s="23" t="s">
        <v>8</v>
      </c>
      <c r="I134" s="37">
        <f t="shared" si="4"/>
        <v>4</v>
      </c>
      <c r="J134" s="37" t="str">
        <f t="shared" si="5"/>
        <v>02/11</v>
      </c>
    </row>
    <row r="135" spans="1:10" x14ac:dyDescent="0.25">
      <c r="A135" s="25">
        <v>132270001</v>
      </c>
      <c r="B135" s="26">
        <v>1120</v>
      </c>
      <c r="C135" s="24" t="s">
        <v>21</v>
      </c>
      <c r="D135" s="54">
        <v>43139</v>
      </c>
      <c r="E135" s="38" t="s">
        <v>10</v>
      </c>
      <c r="F135" s="28">
        <v>0.5</v>
      </c>
      <c r="G135" s="27" t="s">
        <v>70</v>
      </c>
      <c r="H135" s="23" t="s">
        <v>8</v>
      </c>
      <c r="I135" s="37">
        <f t="shared" si="4"/>
        <v>4</v>
      </c>
      <c r="J135" s="37" t="str">
        <f t="shared" si="5"/>
        <v>02/11</v>
      </c>
    </row>
    <row r="136" spans="1:10" x14ac:dyDescent="0.25">
      <c r="A136" s="25">
        <v>132270001</v>
      </c>
      <c r="B136" s="26">
        <v>1354</v>
      </c>
      <c r="C136" s="24" t="s">
        <v>21</v>
      </c>
      <c r="D136" s="54">
        <v>43139</v>
      </c>
      <c r="E136" s="38" t="s">
        <v>9</v>
      </c>
      <c r="F136" s="28">
        <v>8</v>
      </c>
      <c r="G136" s="27" t="s">
        <v>71</v>
      </c>
      <c r="H136" s="23" t="s">
        <v>8</v>
      </c>
      <c r="I136" s="37">
        <f t="shared" si="4"/>
        <v>4</v>
      </c>
      <c r="J136" s="37" t="str">
        <f t="shared" si="5"/>
        <v>02/11</v>
      </c>
    </row>
    <row r="137" spans="1:10" x14ac:dyDescent="0.25">
      <c r="A137" s="25">
        <v>132270001</v>
      </c>
      <c r="B137" s="26">
        <v>1354</v>
      </c>
      <c r="C137" s="24" t="s">
        <v>21</v>
      </c>
      <c r="D137" s="54">
        <v>43139</v>
      </c>
      <c r="E137" s="38" t="s">
        <v>10</v>
      </c>
      <c r="F137" s="28">
        <v>0.5</v>
      </c>
      <c r="G137" s="27" t="s">
        <v>71</v>
      </c>
      <c r="H137" s="23" t="s">
        <v>8</v>
      </c>
      <c r="I137" s="37">
        <f t="shared" si="4"/>
        <v>4</v>
      </c>
      <c r="J137" s="37" t="str">
        <f t="shared" si="5"/>
        <v>02/11</v>
      </c>
    </row>
    <row r="138" spans="1:10" x14ac:dyDescent="0.25">
      <c r="A138" s="25">
        <v>132270001</v>
      </c>
      <c r="B138" s="26">
        <v>1212</v>
      </c>
      <c r="C138" s="24" t="s">
        <v>20</v>
      </c>
      <c r="D138" s="54">
        <v>43139</v>
      </c>
      <c r="E138" s="38" t="s">
        <v>9</v>
      </c>
      <c r="F138" s="28">
        <v>8</v>
      </c>
      <c r="G138" s="27" t="s">
        <v>72</v>
      </c>
      <c r="H138" s="23" t="s">
        <v>8</v>
      </c>
      <c r="I138" s="37">
        <f t="shared" si="4"/>
        <v>4</v>
      </c>
      <c r="J138" s="37" t="str">
        <f t="shared" si="5"/>
        <v>02/11</v>
      </c>
    </row>
    <row r="139" spans="1:10" x14ac:dyDescent="0.25">
      <c r="A139" s="25">
        <v>132270001</v>
      </c>
      <c r="B139" s="26">
        <v>1212</v>
      </c>
      <c r="C139" s="24" t="s">
        <v>20</v>
      </c>
      <c r="D139" s="54">
        <v>43139</v>
      </c>
      <c r="E139" s="38" t="s">
        <v>10</v>
      </c>
      <c r="F139" s="28">
        <v>0.5</v>
      </c>
      <c r="G139" s="27" t="s">
        <v>72</v>
      </c>
      <c r="H139" s="29" t="s">
        <v>8</v>
      </c>
      <c r="I139" s="37">
        <f t="shared" si="4"/>
        <v>4</v>
      </c>
      <c r="J139" s="37" t="str">
        <f t="shared" si="5"/>
        <v>02/11</v>
      </c>
    </row>
    <row r="140" spans="1:10" x14ac:dyDescent="0.25">
      <c r="A140" s="25">
        <v>132170001</v>
      </c>
      <c r="B140" s="26">
        <v>1122</v>
      </c>
      <c r="C140" s="24" t="s">
        <v>22</v>
      </c>
      <c r="D140" s="54">
        <v>43139</v>
      </c>
      <c r="E140" s="38" t="s">
        <v>9</v>
      </c>
      <c r="F140" s="28">
        <v>8</v>
      </c>
      <c r="G140" s="27" t="s">
        <v>54</v>
      </c>
      <c r="H140" s="23">
        <v>2</v>
      </c>
      <c r="I140" s="37">
        <f t="shared" si="4"/>
        <v>4</v>
      </c>
      <c r="J140" s="37" t="str">
        <f t="shared" si="5"/>
        <v>02/11</v>
      </c>
    </row>
    <row r="141" spans="1:10" x14ac:dyDescent="0.25">
      <c r="A141" s="25">
        <v>132170001</v>
      </c>
      <c r="B141" s="26">
        <v>1209</v>
      </c>
      <c r="C141" s="24" t="s">
        <v>19</v>
      </c>
      <c r="D141" s="54">
        <v>43139</v>
      </c>
      <c r="E141" s="38" t="s">
        <v>9</v>
      </c>
      <c r="F141" s="28">
        <v>8</v>
      </c>
      <c r="G141" s="27" t="s">
        <v>55</v>
      </c>
      <c r="H141" s="23" t="s">
        <v>8</v>
      </c>
      <c r="I141" s="37">
        <f t="shared" si="4"/>
        <v>4</v>
      </c>
      <c r="J141" s="37" t="str">
        <f t="shared" si="5"/>
        <v>02/11</v>
      </c>
    </row>
    <row r="142" spans="1:10" x14ac:dyDescent="0.25">
      <c r="A142" s="25">
        <v>132170001</v>
      </c>
      <c r="B142" s="26">
        <v>1082</v>
      </c>
      <c r="C142" s="24" t="s">
        <v>19</v>
      </c>
      <c r="D142" s="54">
        <v>43139</v>
      </c>
      <c r="E142" s="38" t="s">
        <v>9</v>
      </c>
      <c r="F142" s="28">
        <v>8</v>
      </c>
      <c r="G142" s="27" t="s">
        <v>57</v>
      </c>
      <c r="H142" s="23" t="s">
        <v>8</v>
      </c>
      <c r="I142" s="37">
        <f t="shared" si="4"/>
        <v>4</v>
      </c>
      <c r="J142" s="37" t="str">
        <f t="shared" si="5"/>
        <v>02/11</v>
      </c>
    </row>
    <row r="143" spans="1:10" x14ac:dyDescent="0.25">
      <c r="A143" s="25">
        <v>132170001</v>
      </c>
      <c r="B143" s="26">
        <v>1035</v>
      </c>
      <c r="C143" s="24" t="s">
        <v>23</v>
      </c>
      <c r="D143" s="54">
        <v>43139</v>
      </c>
      <c r="E143" s="38" t="s">
        <v>9</v>
      </c>
      <c r="F143" s="28">
        <v>8</v>
      </c>
      <c r="G143" s="27" t="s">
        <v>59</v>
      </c>
      <c r="H143" s="23" t="s">
        <v>8</v>
      </c>
      <c r="I143" s="37">
        <f t="shared" si="4"/>
        <v>4</v>
      </c>
      <c r="J143" s="37" t="str">
        <f t="shared" si="5"/>
        <v>02/11</v>
      </c>
    </row>
    <row r="144" spans="1:10" x14ac:dyDescent="0.25">
      <c r="A144" s="25">
        <v>132170001</v>
      </c>
      <c r="B144" s="26">
        <v>996</v>
      </c>
      <c r="C144" s="24" t="s">
        <v>21</v>
      </c>
      <c r="D144" s="54">
        <v>43139</v>
      </c>
      <c r="E144" s="38" t="s">
        <v>9</v>
      </c>
      <c r="F144" s="28">
        <v>8</v>
      </c>
      <c r="G144" s="27" t="s">
        <v>58</v>
      </c>
      <c r="H144" s="23" t="s">
        <v>8</v>
      </c>
      <c r="I144" s="37">
        <f t="shared" si="4"/>
        <v>4</v>
      </c>
      <c r="J144" s="37" t="str">
        <f t="shared" si="5"/>
        <v>02/11</v>
      </c>
    </row>
    <row r="145" spans="1:10" x14ac:dyDescent="0.25">
      <c r="A145" s="25">
        <v>132170001</v>
      </c>
      <c r="B145" s="26">
        <v>1309</v>
      </c>
      <c r="C145" s="24" t="s">
        <v>20</v>
      </c>
      <c r="D145" s="54">
        <v>43139</v>
      </c>
      <c r="E145" s="38" t="s">
        <v>9</v>
      </c>
      <c r="F145" s="28">
        <v>8</v>
      </c>
      <c r="G145" s="27" t="s">
        <v>60</v>
      </c>
      <c r="H145" s="23" t="s">
        <v>8</v>
      </c>
      <c r="I145" s="37">
        <f t="shared" si="4"/>
        <v>4</v>
      </c>
      <c r="J145" s="37" t="str">
        <f t="shared" si="5"/>
        <v>02/11</v>
      </c>
    </row>
    <row r="146" spans="1:10" x14ac:dyDescent="0.25">
      <c r="A146" s="25">
        <v>132170001</v>
      </c>
      <c r="B146" s="26">
        <v>1122</v>
      </c>
      <c r="C146" s="24" t="s">
        <v>22</v>
      </c>
      <c r="D146" s="54">
        <v>43140</v>
      </c>
      <c r="E146" s="38" t="s">
        <v>9</v>
      </c>
      <c r="F146" s="28">
        <v>6</v>
      </c>
      <c r="G146" s="27" t="s">
        <v>54</v>
      </c>
      <c r="H146" s="23">
        <v>2</v>
      </c>
      <c r="I146" s="37">
        <f t="shared" si="4"/>
        <v>5</v>
      </c>
      <c r="J146" s="37" t="str">
        <f t="shared" si="5"/>
        <v>02/11</v>
      </c>
    </row>
    <row r="147" spans="1:10" x14ac:dyDescent="0.25">
      <c r="A147" s="25">
        <v>132170001</v>
      </c>
      <c r="B147" s="26">
        <v>1209</v>
      </c>
      <c r="C147" s="24" t="s">
        <v>19</v>
      </c>
      <c r="D147" s="54">
        <v>43140</v>
      </c>
      <c r="E147" s="38" t="s">
        <v>9</v>
      </c>
      <c r="F147" s="28">
        <v>6</v>
      </c>
      <c r="G147" s="27" t="s">
        <v>55</v>
      </c>
      <c r="H147" s="23" t="s">
        <v>8</v>
      </c>
      <c r="I147" s="37">
        <f t="shared" si="4"/>
        <v>5</v>
      </c>
      <c r="J147" s="37" t="str">
        <f t="shared" si="5"/>
        <v>02/11</v>
      </c>
    </row>
    <row r="148" spans="1:10" x14ac:dyDescent="0.25">
      <c r="A148" s="25">
        <v>132170001</v>
      </c>
      <c r="B148" s="26">
        <v>1035</v>
      </c>
      <c r="C148" s="24" t="s">
        <v>23</v>
      </c>
      <c r="D148" s="54">
        <v>43140</v>
      </c>
      <c r="E148" s="38" t="s">
        <v>9</v>
      </c>
      <c r="F148" s="28">
        <v>6</v>
      </c>
      <c r="G148" s="27" t="s">
        <v>59</v>
      </c>
      <c r="H148" s="23" t="s">
        <v>8</v>
      </c>
      <c r="I148" s="37">
        <f t="shared" si="4"/>
        <v>5</v>
      </c>
      <c r="J148" s="37" t="str">
        <f t="shared" si="5"/>
        <v>02/11</v>
      </c>
    </row>
    <row r="149" spans="1:10" x14ac:dyDescent="0.25">
      <c r="A149" s="25">
        <v>132170001</v>
      </c>
      <c r="B149" s="26">
        <v>996</v>
      </c>
      <c r="C149" s="24" t="s">
        <v>21</v>
      </c>
      <c r="D149" s="54">
        <v>43140</v>
      </c>
      <c r="E149" s="38" t="s">
        <v>9</v>
      </c>
      <c r="F149" s="28">
        <v>6</v>
      </c>
      <c r="G149" s="27" t="s">
        <v>58</v>
      </c>
      <c r="H149" s="23" t="s">
        <v>8</v>
      </c>
      <c r="I149" s="37">
        <f t="shared" si="4"/>
        <v>5</v>
      </c>
      <c r="J149" s="37" t="str">
        <f t="shared" si="5"/>
        <v>02/11</v>
      </c>
    </row>
    <row r="150" spans="1:10" x14ac:dyDescent="0.25">
      <c r="A150" s="25">
        <v>132170001</v>
      </c>
      <c r="B150" s="26">
        <v>1309</v>
      </c>
      <c r="C150" s="24" t="s">
        <v>20</v>
      </c>
      <c r="D150" s="54">
        <v>43140</v>
      </c>
      <c r="E150" s="38" t="s">
        <v>9</v>
      </c>
      <c r="F150" s="28">
        <v>6</v>
      </c>
      <c r="G150" s="27" t="s">
        <v>60</v>
      </c>
      <c r="H150" s="23" t="s">
        <v>8</v>
      </c>
      <c r="I150" s="37">
        <f t="shared" si="4"/>
        <v>5</v>
      </c>
      <c r="J150" s="37" t="str">
        <f t="shared" si="5"/>
        <v>02/11</v>
      </c>
    </row>
    <row r="151" spans="1:10" x14ac:dyDescent="0.25">
      <c r="A151" s="25">
        <v>106950001</v>
      </c>
      <c r="B151" s="26">
        <v>1467</v>
      </c>
      <c r="C151" s="24" t="s">
        <v>21</v>
      </c>
      <c r="D151" s="54">
        <v>43140</v>
      </c>
      <c r="E151" s="38" t="s">
        <v>9</v>
      </c>
      <c r="F151" s="28">
        <v>8</v>
      </c>
      <c r="G151" s="27" t="s">
        <v>74</v>
      </c>
      <c r="H151" s="23" t="s">
        <v>8</v>
      </c>
      <c r="I151" s="37">
        <f t="shared" si="4"/>
        <v>5</v>
      </c>
      <c r="J151" s="37" t="str">
        <f t="shared" si="5"/>
        <v>02/11</v>
      </c>
    </row>
    <row r="152" spans="1:10" x14ac:dyDescent="0.25">
      <c r="A152" s="25">
        <v>106950001</v>
      </c>
      <c r="B152" s="26">
        <v>1467</v>
      </c>
      <c r="C152" s="24" t="s">
        <v>21</v>
      </c>
      <c r="D152" s="54">
        <v>43140</v>
      </c>
      <c r="E152" s="38" t="s">
        <v>10</v>
      </c>
      <c r="F152" s="28">
        <v>2</v>
      </c>
      <c r="G152" s="27" t="s">
        <v>74</v>
      </c>
      <c r="H152" s="23" t="s">
        <v>8</v>
      </c>
      <c r="I152" s="37">
        <f t="shared" si="4"/>
        <v>5</v>
      </c>
      <c r="J152" s="37" t="str">
        <f t="shared" si="5"/>
        <v>02/11</v>
      </c>
    </row>
    <row r="153" spans="1:10" x14ac:dyDescent="0.25">
      <c r="A153" s="25">
        <v>132270001</v>
      </c>
      <c r="B153" s="26">
        <v>1027</v>
      </c>
      <c r="C153" s="24" t="s">
        <v>22</v>
      </c>
      <c r="D153" s="54">
        <v>43140</v>
      </c>
      <c r="E153" s="38" t="s">
        <v>9</v>
      </c>
      <c r="F153" s="28">
        <v>8</v>
      </c>
      <c r="G153" s="27" t="s">
        <v>68</v>
      </c>
      <c r="H153" s="29">
        <v>2</v>
      </c>
      <c r="I153" s="37">
        <f t="shared" si="4"/>
        <v>5</v>
      </c>
      <c r="J153" s="37" t="str">
        <f t="shared" si="5"/>
        <v>02/11</v>
      </c>
    </row>
    <row r="154" spans="1:10" x14ac:dyDescent="0.25">
      <c r="A154" s="25">
        <v>132270001</v>
      </c>
      <c r="B154" s="26">
        <v>1027</v>
      </c>
      <c r="C154" s="24" t="s">
        <v>22</v>
      </c>
      <c r="D154" s="54">
        <v>43140</v>
      </c>
      <c r="E154" s="38" t="s">
        <v>10</v>
      </c>
      <c r="F154" s="28">
        <v>0.5</v>
      </c>
      <c r="G154" s="27" t="s">
        <v>68</v>
      </c>
      <c r="H154" s="23">
        <v>2</v>
      </c>
      <c r="I154" s="37">
        <f t="shared" si="4"/>
        <v>5</v>
      </c>
      <c r="J154" s="37" t="str">
        <f t="shared" si="5"/>
        <v>02/11</v>
      </c>
    </row>
    <row r="155" spans="1:10" x14ac:dyDescent="0.25">
      <c r="A155" s="25">
        <v>132270001</v>
      </c>
      <c r="B155" s="26">
        <v>1360</v>
      </c>
      <c r="C155" s="24" t="s">
        <v>24</v>
      </c>
      <c r="D155" s="54">
        <v>43140</v>
      </c>
      <c r="E155" s="38" t="s">
        <v>9</v>
      </c>
      <c r="F155" s="28">
        <v>8</v>
      </c>
      <c r="G155" s="27" t="s">
        <v>56</v>
      </c>
      <c r="H155" s="23">
        <v>4</v>
      </c>
      <c r="I155" s="37">
        <f t="shared" si="4"/>
        <v>5</v>
      </c>
      <c r="J155" s="37" t="str">
        <f t="shared" si="5"/>
        <v>02/11</v>
      </c>
    </row>
    <row r="156" spans="1:10" x14ac:dyDescent="0.25">
      <c r="A156" s="25">
        <v>132270001</v>
      </c>
      <c r="B156" s="26">
        <v>1360</v>
      </c>
      <c r="C156" s="24" t="s">
        <v>24</v>
      </c>
      <c r="D156" s="54">
        <v>43140</v>
      </c>
      <c r="E156" s="38" t="s">
        <v>10</v>
      </c>
      <c r="F156" s="28">
        <v>0.5</v>
      </c>
      <c r="G156" s="27" t="s">
        <v>56</v>
      </c>
      <c r="H156" s="23">
        <v>4</v>
      </c>
      <c r="I156" s="37">
        <f t="shared" si="4"/>
        <v>5</v>
      </c>
      <c r="J156" s="37" t="str">
        <f t="shared" si="5"/>
        <v>02/11</v>
      </c>
    </row>
    <row r="157" spans="1:10" x14ac:dyDescent="0.25">
      <c r="A157" s="25">
        <v>132270001</v>
      </c>
      <c r="B157" s="26">
        <v>1121</v>
      </c>
      <c r="C157" s="24" t="s">
        <v>21</v>
      </c>
      <c r="D157" s="54">
        <v>43140</v>
      </c>
      <c r="E157" s="38" t="s">
        <v>9</v>
      </c>
      <c r="F157" s="28">
        <v>8</v>
      </c>
      <c r="G157" s="27" t="s">
        <v>69</v>
      </c>
      <c r="H157" s="23" t="s">
        <v>8</v>
      </c>
      <c r="I157" s="37">
        <f t="shared" si="4"/>
        <v>5</v>
      </c>
      <c r="J157" s="37" t="str">
        <f t="shared" si="5"/>
        <v>02/11</v>
      </c>
    </row>
    <row r="158" spans="1:10" x14ac:dyDescent="0.25">
      <c r="A158" s="25">
        <v>132270001</v>
      </c>
      <c r="B158" s="26">
        <v>1121</v>
      </c>
      <c r="C158" s="24" t="s">
        <v>21</v>
      </c>
      <c r="D158" s="54">
        <v>43140</v>
      </c>
      <c r="E158" s="38" t="s">
        <v>10</v>
      </c>
      <c r="F158" s="28">
        <v>0.5</v>
      </c>
      <c r="G158" s="27" t="s">
        <v>69</v>
      </c>
      <c r="H158" s="23" t="s">
        <v>8</v>
      </c>
      <c r="I158" s="37">
        <f t="shared" si="4"/>
        <v>5</v>
      </c>
      <c r="J158" s="37" t="str">
        <f t="shared" si="5"/>
        <v>02/11</v>
      </c>
    </row>
    <row r="159" spans="1:10" x14ac:dyDescent="0.25">
      <c r="A159" s="25">
        <v>132270001</v>
      </c>
      <c r="B159" s="26">
        <v>1120</v>
      </c>
      <c r="C159" s="24" t="s">
        <v>21</v>
      </c>
      <c r="D159" s="54">
        <v>43140</v>
      </c>
      <c r="E159" s="38" t="s">
        <v>9</v>
      </c>
      <c r="F159" s="28">
        <v>8</v>
      </c>
      <c r="G159" s="27" t="s">
        <v>70</v>
      </c>
      <c r="H159" s="23" t="s">
        <v>8</v>
      </c>
      <c r="I159" s="37">
        <f t="shared" si="4"/>
        <v>5</v>
      </c>
      <c r="J159" s="37" t="str">
        <f t="shared" si="5"/>
        <v>02/11</v>
      </c>
    </row>
    <row r="160" spans="1:10" x14ac:dyDescent="0.25">
      <c r="A160" s="25">
        <v>132270001</v>
      </c>
      <c r="B160" s="26">
        <v>1120</v>
      </c>
      <c r="C160" s="24" t="s">
        <v>21</v>
      </c>
      <c r="D160" s="54">
        <v>43140</v>
      </c>
      <c r="E160" s="38" t="s">
        <v>10</v>
      </c>
      <c r="F160" s="28">
        <v>0.5</v>
      </c>
      <c r="G160" s="27" t="s">
        <v>70</v>
      </c>
      <c r="H160" s="23" t="s">
        <v>8</v>
      </c>
      <c r="I160" s="37">
        <f t="shared" si="4"/>
        <v>5</v>
      </c>
      <c r="J160" s="37" t="str">
        <f t="shared" si="5"/>
        <v>02/11</v>
      </c>
    </row>
    <row r="161" spans="1:10" x14ac:dyDescent="0.25">
      <c r="A161" s="25">
        <v>132270001</v>
      </c>
      <c r="B161" s="26">
        <v>1354</v>
      </c>
      <c r="C161" s="24" t="s">
        <v>21</v>
      </c>
      <c r="D161" s="54">
        <v>43140</v>
      </c>
      <c r="E161" s="38" t="s">
        <v>9</v>
      </c>
      <c r="F161" s="28">
        <v>8</v>
      </c>
      <c r="G161" s="27" t="s">
        <v>71</v>
      </c>
      <c r="H161" s="23" t="s">
        <v>8</v>
      </c>
      <c r="I161" s="37">
        <f t="shared" si="4"/>
        <v>5</v>
      </c>
      <c r="J161" s="37" t="str">
        <f t="shared" si="5"/>
        <v>02/11</v>
      </c>
    </row>
    <row r="162" spans="1:10" x14ac:dyDescent="0.25">
      <c r="A162" s="25">
        <v>132270001</v>
      </c>
      <c r="B162" s="26">
        <v>1354</v>
      </c>
      <c r="C162" s="24" t="s">
        <v>21</v>
      </c>
      <c r="D162" s="54">
        <v>43140</v>
      </c>
      <c r="E162" s="38" t="s">
        <v>10</v>
      </c>
      <c r="F162" s="28">
        <v>0.5</v>
      </c>
      <c r="G162" s="27" t="s">
        <v>71</v>
      </c>
      <c r="H162" s="23" t="s">
        <v>8</v>
      </c>
      <c r="I162" s="37">
        <f t="shared" si="4"/>
        <v>5</v>
      </c>
      <c r="J162" s="37" t="str">
        <f t="shared" si="5"/>
        <v>02/11</v>
      </c>
    </row>
    <row r="163" spans="1:10" x14ac:dyDescent="0.25">
      <c r="A163" s="25">
        <v>132270001</v>
      </c>
      <c r="B163" s="26">
        <v>1212</v>
      </c>
      <c r="C163" s="24" t="s">
        <v>20</v>
      </c>
      <c r="D163" s="54">
        <v>43140</v>
      </c>
      <c r="E163" s="38" t="s">
        <v>9</v>
      </c>
      <c r="F163" s="28">
        <v>8</v>
      </c>
      <c r="G163" s="27" t="s">
        <v>72</v>
      </c>
      <c r="H163" s="23" t="s">
        <v>8</v>
      </c>
      <c r="I163" s="37">
        <f t="shared" si="4"/>
        <v>5</v>
      </c>
      <c r="J163" s="37" t="str">
        <f t="shared" si="5"/>
        <v>02/11</v>
      </c>
    </row>
    <row r="164" spans="1:10" x14ac:dyDescent="0.25">
      <c r="A164" s="25">
        <v>132270001</v>
      </c>
      <c r="B164" s="26">
        <v>1212</v>
      </c>
      <c r="C164" s="24" t="s">
        <v>20</v>
      </c>
      <c r="D164" s="54">
        <v>43140</v>
      </c>
      <c r="E164" s="38" t="s">
        <v>10</v>
      </c>
      <c r="F164" s="28">
        <v>0.5</v>
      </c>
      <c r="G164" s="27" t="s">
        <v>72</v>
      </c>
      <c r="H164" s="29" t="s">
        <v>8</v>
      </c>
      <c r="I164" s="37">
        <f t="shared" si="4"/>
        <v>5</v>
      </c>
      <c r="J164" s="37" t="str">
        <f t="shared" si="5"/>
        <v>02/11</v>
      </c>
    </row>
    <row r="165" spans="1:10" x14ac:dyDescent="0.25">
      <c r="A165" s="25">
        <v>106950001</v>
      </c>
      <c r="B165" s="26">
        <v>1480</v>
      </c>
      <c r="C165" s="24" t="s">
        <v>21</v>
      </c>
      <c r="D165" s="54">
        <v>43140</v>
      </c>
      <c r="E165" s="38" t="s">
        <v>9</v>
      </c>
      <c r="F165" s="28">
        <v>8</v>
      </c>
      <c r="G165" s="27" t="s">
        <v>53</v>
      </c>
      <c r="H165" s="29" t="s">
        <v>8</v>
      </c>
      <c r="I165" s="37">
        <f t="shared" si="4"/>
        <v>5</v>
      </c>
      <c r="J165" s="37" t="str">
        <f t="shared" si="5"/>
        <v>02/11</v>
      </c>
    </row>
    <row r="166" spans="1:10" x14ac:dyDescent="0.25">
      <c r="A166" s="25">
        <v>106950001</v>
      </c>
      <c r="B166" s="26">
        <v>1480</v>
      </c>
      <c r="C166" s="24" t="s">
        <v>21</v>
      </c>
      <c r="D166" s="54">
        <v>43140</v>
      </c>
      <c r="E166" s="38" t="s">
        <v>10</v>
      </c>
      <c r="F166" s="28">
        <v>4</v>
      </c>
      <c r="G166" s="27" t="s">
        <v>53</v>
      </c>
      <c r="H166" s="29" t="s">
        <v>8</v>
      </c>
      <c r="I166" s="37">
        <f t="shared" si="4"/>
        <v>5</v>
      </c>
      <c r="J166" s="37" t="str">
        <f t="shared" si="5"/>
        <v>02/11</v>
      </c>
    </row>
    <row r="167" spans="1:10" x14ac:dyDescent="0.25">
      <c r="A167" s="25">
        <v>106950001</v>
      </c>
      <c r="B167" s="26">
        <v>1480</v>
      </c>
      <c r="C167" s="24" t="s">
        <v>21</v>
      </c>
      <c r="D167" s="54">
        <v>43140</v>
      </c>
      <c r="E167" s="38" t="s">
        <v>7</v>
      </c>
      <c r="F167" s="28">
        <v>1.5</v>
      </c>
      <c r="G167" s="27" t="s">
        <v>53</v>
      </c>
      <c r="H167" s="23" t="s">
        <v>8</v>
      </c>
      <c r="I167" s="37">
        <f t="shared" si="4"/>
        <v>5</v>
      </c>
      <c r="J167" s="37" t="str">
        <f t="shared" si="5"/>
        <v>02/11</v>
      </c>
    </row>
    <row r="168" spans="1:10" x14ac:dyDescent="0.25">
      <c r="A168" s="25">
        <v>132270001</v>
      </c>
      <c r="B168" s="26">
        <v>1025</v>
      </c>
      <c r="C168" s="40" t="s">
        <v>19</v>
      </c>
      <c r="D168" s="54">
        <v>43140</v>
      </c>
      <c r="E168" s="38" t="s">
        <v>9</v>
      </c>
      <c r="F168" s="28">
        <v>5</v>
      </c>
      <c r="G168" s="27" t="s">
        <v>67</v>
      </c>
      <c r="H168" s="23" t="s">
        <v>8</v>
      </c>
      <c r="I168" s="37">
        <f t="shared" si="4"/>
        <v>5</v>
      </c>
      <c r="J168" s="37" t="str">
        <f t="shared" si="5"/>
        <v>02/11</v>
      </c>
    </row>
    <row r="169" spans="1:10" x14ac:dyDescent="0.25">
      <c r="A169" s="25">
        <v>50360001</v>
      </c>
      <c r="B169" s="26">
        <v>1025</v>
      </c>
      <c r="C169" s="40" t="s">
        <v>19</v>
      </c>
      <c r="D169" s="54">
        <v>43140</v>
      </c>
      <c r="E169" s="38" t="s">
        <v>9</v>
      </c>
      <c r="F169" s="28">
        <v>3</v>
      </c>
      <c r="G169" s="27" t="s">
        <v>67</v>
      </c>
      <c r="H169" s="23" t="s">
        <v>8</v>
      </c>
      <c r="I169" s="37">
        <f t="shared" si="4"/>
        <v>5</v>
      </c>
      <c r="J169" s="37" t="str">
        <f t="shared" si="5"/>
        <v>02/11</v>
      </c>
    </row>
    <row r="170" spans="1:10" x14ac:dyDescent="0.25">
      <c r="A170" s="25">
        <v>50360001</v>
      </c>
      <c r="B170" s="26">
        <v>1025</v>
      </c>
      <c r="C170" s="24" t="s">
        <v>19</v>
      </c>
      <c r="D170" s="54">
        <v>43140</v>
      </c>
      <c r="E170" s="38" t="s">
        <v>10</v>
      </c>
      <c r="F170" s="28">
        <v>2.5</v>
      </c>
      <c r="G170" s="27" t="s">
        <v>67</v>
      </c>
      <c r="H170" s="23" t="s">
        <v>8</v>
      </c>
      <c r="I170" s="37">
        <f t="shared" si="4"/>
        <v>5</v>
      </c>
      <c r="J170" s="37" t="str">
        <f t="shared" si="5"/>
        <v>02/11</v>
      </c>
    </row>
    <row r="171" spans="1:10" x14ac:dyDescent="0.25">
      <c r="A171" s="25">
        <v>132270001</v>
      </c>
      <c r="B171" s="26">
        <v>1007</v>
      </c>
      <c r="C171" s="24" t="s">
        <v>19</v>
      </c>
      <c r="D171" s="54">
        <v>43140</v>
      </c>
      <c r="E171" s="38" t="s">
        <v>9</v>
      </c>
      <c r="F171" s="28">
        <v>1</v>
      </c>
      <c r="G171" s="27" t="s">
        <v>61</v>
      </c>
      <c r="H171" s="23" t="s">
        <v>8</v>
      </c>
      <c r="I171" s="37">
        <f t="shared" si="4"/>
        <v>5</v>
      </c>
      <c r="J171" s="37" t="str">
        <f t="shared" si="5"/>
        <v>02/11</v>
      </c>
    </row>
    <row r="172" spans="1:10" x14ac:dyDescent="0.25">
      <c r="A172" s="25">
        <v>50360001</v>
      </c>
      <c r="B172" s="26">
        <v>1007</v>
      </c>
      <c r="C172" s="42" t="s">
        <v>19</v>
      </c>
      <c r="D172" s="54">
        <v>43140</v>
      </c>
      <c r="E172" s="38" t="s">
        <v>9</v>
      </c>
      <c r="F172" s="28">
        <v>1</v>
      </c>
      <c r="G172" s="27" t="s">
        <v>61</v>
      </c>
      <c r="H172" s="29" t="s">
        <v>8</v>
      </c>
      <c r="I172" s="37">
        <f t="shared" si="4"/>
        <v>5</v>
      </c>
      <c r="J172" s="37" t="str">
        <f t="shared" si="5"/>
        <v>02/11</v>
      </c>
    </row>
    <row r="173" spans="1:10" x14ac:dyDescent="0.25">
      <c r="A173" s="25">
        <v>50360001</v>
      </c>
      <c r="B173" s="26">
        <v>1007</v>
      </c>
      <c r="C173" s="24" t="s">
        <v>19</v>
      </c>
      <c r="D173" s="54">
        <v>43140</v>
      </c>
      <c r="E173" s="38" t="s">
        <v>10</v>
      </c>
      <c r="F173" s="28">
        <v>2.5</v>
      </c>
      <c r="G173" s="27" t="s">
        <v>61</v>
      </c>
      <c r="H173" s="29" t="s">
        <v>8</v>
      </c>
      <c r="I173" s="37">
        <f t="shared" si="4"/>
        <v>5</v>
      </c>
      <c r="J173" s="37" t="str">
        <f t="shared" si="5"/>
        <v>02/11</v>
      </c>
    </row>
    <row r="174" spans="1:10" x14ac:dyDescent="0.25">
      <c r="A174" s="25">
        <v>132490001</v>
      </c>
      <c r="B174" s="26">
        <v>1007</v>
      </c>
      <c r="C174" s="24" t="s">
        <v>19</v>
      </c>
      <c r="D174" s="54">
        <v>43140</v>
      </c>
      <c r="E174" s="38" t="s">
        <v>9</v>
      </c>
      <c r="F174" s="28">
        <v>2</v>
      </c>
      <c r="G174" s="27" t="s">
        <v>61</v>
      </c>
      <c r="H174" s="23" t="s">
        <v>8</v>
      </c>
      <c r="I174" s="37">
        <f t="shared" si="4"/>
        <v>5</v>
      </c>
      <c r="J174" s="37" t="str">
        <f t="shared" si="5"/>
        <v>02/11</v>
      </c>
    </row>
    <row r="175" spans="1:10" x14ac:dyDescent="0.25">
      <c r="A175" s="25">
        <v>201480001</v>
      </c>
      <c r="B175" s="26">
        <v>1007</v>
      </c>
      <c r="C175" s="24" t="s">
        <v>19</v>
      </c>
      <c r="D175" s="54">
        <v>43140</v>
      </c>
      <c r="E175" s="38" t="s">
        <v>9</v>
      </c>
      <c r="F175" s="28">
        <v>2</v>
      </c>
      <c r="G175" s="27" t="s">
        <v>61</v>
      </c>
      <c r="H175" s="23" t="s">
        <v>8</v>
      </c>
      <c r="I175" s="37">
        <f t="shared" si="4"/>
        <v>5</v>
      </c>
      <c r="J175" s="37" t="str">
        <f t="shared" si="5"/>
        <v>02/11</v>
      </c>
    </row>
    <row r="176" spans="1:10" x14ac:dyDescent="0.25">
      <c r="A176" s="25">
        <v>133980001</v>
      </c>
      <c r="B176" s="26">
        <v>1007</v>
      </c>
      <c r="C176" s="24" t="s">
        <v>19</v>
      </c>
      <c r="D176" s="54">
        <v>43140</v>
      </c>
      <c r="E176" s="38" t="s">
        <v>9</v>
      </c>
      <c r="F176" s="28">
        <v>2</v>
      </c>
      <c r="G176" s="27" t="s">
        <v>61</v>
      </c>
      <c r="H176" s="23" t="s">
        <v>8</v>
      </c>
      <c r="I176" s="37">
        <f t="shared" si="4"/>
        <v>5</v>
      </c>
      <c r="J176" s="37" t="str">
        <f t="shared" si="5"/>
        <v>02/11</v>
      </c>
    </row>
    <row r="177" spans="1:10" x14ac:dyDescent="0.25">
      <c r="A177" s="25">
        <v>132490001</v>
      </c>
      <c r="B177" s="26">
        <v>1047</v>
      </c>
      <c r="C177" s="24" t="s">
        <v>21</v>
      </c>
      <c r="D177" s="54">
        <v>43140</v>
      </c>
      <c r="E177" s="38" t="s">
        <v>9</v>
      </c>
      <c r="F177" s="28">
        <v>8</v>
      </c>
      <c r="G177" s="27" t="s">
        <v>63</v>
      </c>
      <c r="H177" s="23" t="s">
        <v>8</v>
      </c>
      <c r="I177" s="37">
        <f t="shared" si="4"/>
        <v>5</v>
      </c>
      <c r="J177" s="37" t="str">
        <f t="shared" si="5"/>
        <v>02/11</v>
      </c>
    </row>
    <row r="178" spans="1:10" x14ac:dyDescent="0.25">
      <c r="A178" s="25">
        <v>132490001</v>
      </c>
      <c r="B178" s="26">
        <v>1032</v>
      </c>
      <c r="C178" s="24" t="s">
        <v>21</v>
      </c>
      <c r="D178" s="54">
        <v>43140</v>
      </c>
      <c r="E178" s="38" t="s">
        <v>9</v>
      </c>
      <c r="F178" s="28">
        <v>8</v>
      </c>
      <c r="G178" s="27" t="s">
        <v>62</v>
      </c>
      <c r="H178" s="23" t="s">
        <v>8</v>
      </c>
      <c r="I178" s="37">
        <f t="shared" si="4"/>
        <v>5</v>
      </c>
      <c r="J178" s="37" t="str">
        <f t="shared" si="5"/>
        <v>02/11</v>
      </c>
    </row>
    <row r="179" spans="1:10" x14ac:dyDescent="0.25">
      <c r="A179" s="25">
        <v>201480001</v>
      </c>
      <c r="B179" s="26">
        <v>1437</v>
      </c>
      <c r="C179" s="24" t="s">
        <v>21</v>
      </c>
      <c r="D179" s="54">
        <v>43140</v>
      </c>
      <c r="E179" s="38" t="s">
        <v>9</v>
      </c>
      <c r="F179" s="28">
        <v>8</v>
      </c>
      <c r="G179" s="27" t="s">
        <v>64</v>
      </c>
      <c r="H179" s="23" t="s">
        <v>8</v>
      </c>
      <c r="I179" s="37">
        <f t="shared" si="4"/>
        <v>5</v>
      </c>
      <c r="J179" s="37" t="str">
        <f t="shared" si="5"/>
        <v>02/11</v>
      </c>
    </row>
    <row r="180" spans="1:10" x14ac:dyDescent="0.25">
      <c r="A180" s="25">
        <v>133940001</v>
      </c>
      <c r="B180" s="26">
        <v>1082</v>
      </c>
      <c r="C180" s="24" t="s">
        <v>19</v>
      </c>
      <c r="D180" s="54">
        <v>43140</v>
      </c>
      <c r="E180" s="38" t="s">
        <v>9</v>
      </c>
      <c r="F180" s="28">
        <v>6</v>
      </c>
      <c r="G180" s="27" t="s">
        <v>57</v>
      </c>
      <c r="H180" s="29" t="s">
        <v>8</v>
      </c>
      <c r="I180" s="37">
        <f t="shared" ref="I180:I243" si="6">WEEKDAY(D180,2)</f>
        <v>5</v>
      </c>
      <c r="J180" s="37" t="str">
        <f t="shared" si="5"/>
        <v>02/11</v>
      </c>
    </row>
    <row r="181" spans="1:10" x14ac:dyDescent="0.25">
      <c r="A181" s="25">
        <v>133980001</v>
      </c>
      <c r="B181" s="26">
        <v>1082</v>
      </c>
      <c r="C181" s="24" t="s">
        <v>19</v>
      </c>
      <c r="D181" s="54">
        <v>43140</v>
      </c>
      <c r="E181" s="38" t="s">
        <v>9</v>
      </c>
      <c r="F181" s="28">
        <v>2</v>
      </c>
      <c r="G181" s="27" t="s">
        <v>57</v>
      </c>
      <c r="H181" s="29" t="s">
        <v>8</v>
      </c>
      <c r="I181" s="37">
        <f t="shared" si="6"/>
        <v>5</v>
      </c>
      <c r="J181" s="37" t="str">
        <f t="shared" si="5"/>
        <v>02/11</v>
      </c>
    </row>
    <row r="182" spans="1:10" x14ac:dyDescent="0.25">
      <c r="A182" s="25">
        <v>133980001</v>
      </c>
      <c r="B182" s="26">
        <v>1253</v>
      </c>
      <c r="C182" s="24" t="s">
        <v>21</v>
      </c>
      <c r="D182" s="54">
        <v>43140</v>
      </c>
      <c r="E182" s="38" t="s">
        <v>9</v>
      </c>
      <c r="F182" s="28">
        <v>8</v>
      </c>
      <c r="G182" s="27" t="s">
        <v>65</v>
      </c>
      <c r="H182" s="23" t="s">
        <v>8</v>
      </c>
      <c r="I182" s="37">
        <f t="shared" si="6"/>
        <v>5</v>
      </c>
      <c r="J182" s="37" t="str">
        <f t="shared" si="5"/>
        <v>02/11</v>
      </c>
    </row>
    <row r="183" spans="1:10" x14ac:dyDescent="0.25">
      <c r="A183" s="25">
        <v>132270001</v>
      </c>
      <c r="B183" s="26">
        <v>1204</v>
      </c>
      <c r="C183" s="24" t="s">
        <v>20</v>
      </c>
      <c r="D183" s="54">
        <v>43140</v>
      </c>
      <c r="E183" s="38" t="s">
        <v>9</v>
      </c>
      <c r="F183" s="28">
        <v>8</v>
      </c>
      <c r="G183" s="27" t="s">
        <v>75</v>
      </c>
      <c r="H183" s="23" t="s">
        <v>8</v>
      </c>
      <c r="I183" s="37">
        <f t="shared" si="6"/>
        <v>5</v>
      </c>
      <c r="J183" s="37" t="str">
        <f t="shared" si="5"/>
        <v>02/11</v>
      </c>
    </row>
    <row r="184" spans="1:10" x14ac:dyDescent="0.25">
      <c r="A184" s="25">
        <v>106950001</v>
      </c>
      <c r="B184" s="26">
        <v>1467</v>
      </c>
      <c r="C184" s="24" t="s">
        <v>21</v>
      </c>
      <c r="D184" s="54">
        <v>43141</v>
      </c>
      <c r="E184" s="38" t="s">
        <v>10</v>
      </c>
      <c r="F184" s="28">
        <v>10</v>
      </c>
      <c r="G184" s="27" t="s">
        <v>74</v>
      </c>
      <c r="H184" s="23" t="s">
        <v>8</v>
      </c>
      <c r="I184" s="37">
        <f t="shared" si="6"/>
        <v>6</v>
      </c>
      <c r="J184" s="37" t="str">
        <f t="shared" si="5"/>
        <v>02/11</v>
      </c>
    </row>
    <row r="185" spans="1:10" x14ac:dyDescent="0.25">
      <c r="A185" s="25">
        <v>106950001</v>
      </c>
      <c r="B185" s="26">
        <v>1480</v>
      </c>
      <c r="C185" s="24" t="s">
        <v>21</v>
      </c>
      <c r="D185" s="54">
        <v>43141</v>
      </c>
      <c r="E185" s="38" t="s">
        <v>10</v>
      </c>
      <c r="F185" s="28">
        <v>11</v>
      </c>
      <c r="G185" s="27" t="s">
        <v>53</v>
      </c>
      <c r="H185" s="23" t="s">
        <v>8</v>
      </c>
      <c r="I185" s="37">
        <f t="shared" si="6"/>
        <v>6</v>
      </c>
      <c r="J185" s="37" t="str">
        <f t="shared" si="5"/>
        <v>02/11</v>
      </c>
    </row>
    <row r="186" spans="1:10" ht="15.75" thickBot="1" x14ac:dyDescent="0.3">
      <c r="A186" s="43">
        <v>132270001</v>
      </c>
      <c r="B186" s="44">
        <v>1122</v>
      </c>
      <c r="C186" s="45" t="s">
        <v>22</v>
      </c>
      <c r="D186" s="55">
        <v>43141</v>
      </c>
      <c r="E186" s="46" t="s">
        <v>10</v>
      </c>
      <c r="F186" s="47">
        <v>4</v>
      </c>
      <c r="G186" s="48" t="s">
        <v>54</v>
      </c>
      <c r="H186" s="23">
        <v>2</v>
      </c>
      <c r="I186" s="37">
        <f t="shared" si="6"/>
        <v>6</v>
      </c>
      <c r="J186" s="37" t="str">
        <f t="shared" si="5"/>
        <v>02/11</v>
      </c>
    </row>
    <row r="187" spans="1:10" x14ac:dyDescent="0.25">
      <c r="A187" s="25">
        <v>106950001</v>
      </c>
      <c r="B187" s="26">
        <v>1480</v>
      </c>
      <c r="C187" s="24" t="s">
        <v>21</v>
      </c>
      <c r="D187" s="54">
        <v>43143</v>
      </c>
      <c r="E187" s="38" t="s">
        <v>9</v>
      </c>
      <c r="F187" s="28">
        <v>8</v>
      </c>
      <c r="G187" s="27" t="s">
        <v>53</v>
      </c>
      <c r="H187" s="23" t="s">
        <v>8</v>
      </c>
      <c r="I187" s="37">
        <f t="shared" si="6"/>
        <v>1</v>
      </c>
      <c r="J187" s="37" t="str">
        <f t="shared" si="5"/>
        <v>02/18</v>
      </c>
    </row>
    <row r="188" spans="1:10" x14ac:dyDescent="0.25">
      <c r="A188" s="25">
        <v>106950001</v>
      </c>
      <c r="B188" s="26">
        <v>1480</v>
      </c>
      <c r="C188" s="24" t="s">
        <v>21</v>
      </c>
      <c r="D188" s="54">
        <v>43143</v>
      </c>
      <c r="E188" s="38" t="s">
        <v>10</v>
      </c>
      <c r="F188" s="28">
        <v>4</v>
      </c>
      <c r="G188" s="27" t="s">
        <v>53</v>
      </c>
      <c r="H188" s="23" t="s">
        <v>8</v>
      </c>
      <c r="I188" s="37">
        <f t="shared" si="6"/>
        <v>1</v>
      </c>
      <c r="J188" s="37" t="str">
        <f t="shared" si="5"/>
        <v>02/18</v>
      </c>
    </row>
    <row r="189" spans="1:10" x14ac:dyDescent="0.25">
      <c r="A189" s="25">
        <v>132170001</v>
      </c>
      <c r="B189" s="26">
        <v>1122</v>
      </c>
      <c r="C189" s="24" t="s">
        <v>22</v>
      </c>
      <c r="D189" s="54">
        <v>43143</v>
      </c>
      <c r="E189" s="38" t="s">
        <v>9</v>
      </c>
      <c r="F189" s="28">
        <v>6</v>
      </c>
      <c r="G189" s="27" t="s">
        <v>54</v>
      </c>
      <c r="H189" s="23">
        <v>2</v>
      </c>
      <c r="I189" s="37">
        <f t="shared" si="6"/>
        <v>1</v>
      </c>
      <c r="J189" s="37" t="str">
        <f t="shared" si="5"/>
        <v>02/18</v>
      </c>
    </row>
    <row r="190" spans="1:10" x14ac:dyDescent="0.25">
      <c r="A190" s="25">
        <v>134780001</v>
      </c>
      <c r="B190" s="26">
        <v>1122</v>
      </c>
      <c r="C190" s="24" t="s">
        <v>22</v>
      </c>
      <c r="D190" s="54">
        <v>43143</v>
      </c>
      <c r="E190" s="38" t="s">
        <v>9</v>
      </c>
      <c r="F190" s="28">
        <v>2</v>
      </c>
      <c r="G190" s="27" t="s">
        <v>54</v>
      </c>
      <c r="H190" s="23">
        <v>2</v>
      </c>
      <c r="I190" s="37">
        <f t="shared" si="6"/>
        <v>1</v>
      </c>
      <c r="J190" s="37" t="str">
        <f t="shared" si="5"/>
        <v>02/18</v>
      </c>
    </row>
    <row r="191" spans="1:10" x14ac:dyDescent="0.25">
      <c r="A191" s="25">
        <v>134780001</v>
      </c>
      <c r="B191" s="26">
        <v>1122</v>
      </c>
      <c r="C191" s="24" t="s">
        <v>22</v>
      </c>
      <c r="D191" s="54">
        <v>43143</v>
      </c>
      <c r="E191" s="38" t="s">
        <v>10</v>
      </c>
      <c r="F191" s="28">
        <v>4</v>
      </c>
      <c r="G191" s="27" t="s">
        <v>54</v>
      </c>
      <c r="H191" s="23">
        <v>2</v>
      </c>
      <c r="I191" s="37">
        <f t="shared" si="6"/>
        <v>1</v>
      </c>
      <c r="J191" s="37" t="str">
        <f t="shared" si="5"/>
        <v>02/18</v>
      </c>
    </row>
    <row r="192" spans="1:10" x14ac:dyDescent="0.25">
      <c r="A192" s="25">
        <v>134780001</v>
      </c>
      <c r="B192" s="26">
        <v>1032</v>
      </c>
      <c r="C192" s="24" t="s">
        <v>21</v>
      </c>
      <c r="D192" s="54">
        <v>43143</v>
      </c>
      <c r="E192" s="38" t="s">
        <v>9</v>
      </c>
      <c r="F192" s="28">
        <v>2</v>
      </c>
      <c r="G192" s="27" t="s">
        <v>62</v>
      </c>
      <c r="H192" s="23" t="s">
        <v>8</v>
      </c>
      <c r="I192" s="37">
        <f t="shared" si="6"/>
        <v>1</v>
      </c>
      <c r="J192" s="37" t="str">
        <f t="shared" si="5"/>
        <v>02/18</v>
      </c>
    </row>
    <row r="193" spans="1:10" x14ac:dyDescent="0.25">
      <c r="A193" s="25">
        <v>134780001</v>
      </c>
      <c r="B193" s="26">
        <v>1032</v>
      </c>
      <c r="C193" s="24" t="s">
        <v>21</v>
      </c>
      <c r="D193" s="54">
        <v>43143</v>
      </c>
      <c r="E193" s="38" t="s">
        <v>10</v>
      </c>
      <c r="F193" s="28">
        <v>4</v>
      </c>
      <c r="G193" s="27" t="s">
        <v>62</v>
      </c>
      <c r="H193" s="23" t="s">
        <v>8</v>
      </c>
      <c r="I193" s="37">
        <f t="shared" si="6"/>
        <v>1</v>
      </c>
      <c r="J193" s="37" t="str">
        <f t="shared" si="5"/>
        <v>02/18</v>
      </c>
    </row>
    <row r="194" spans="1:10" x14ac:dyDescent="0.25">
      <c r="A194" s="25">
        <v>132490001</v>
      </c>
      <c r="B194" s="26">
        <v>1032</v>
      </c>
      <c r="C194" s="24" t="s">
        <v>21</v>
      </c>
      <c r="D194" s="54">
        <v>43143</v>
      </c>
      <c r="E194" s="38" t="s">
        <v>9</v>
      </c>
      <c r="F194" s="28">
        <v>6</v>
      </c>
      <c r="G194" s="27" t="s">
        <v>62</v>
      </c>
      <c r="H194" s="23" t="s">
        <v>8</v>
      </c>
      <c r="I194" s="37">
        <f t="shared" si="6"/>
        <v>1</v>
      </c>
      <c r="J194" s="37" t="str">
        <f t="shared" ref="J194:J257" si="7">TEXT(IF(I194= 1,D194+6, IF(I194= 2, D194+5, IF(I194= 3,D194+4, IF(I194= 4, D194+3, IF(I194= 5, D194+2, IF(I194= 6, D194+1, IF(I194=7,D194+0))))))),"mm/dd")</f>
        <v>02/18</v>
      </c>
    </row>
    <row r="195" spans="1:10" x14ac:dyDescent="0.25">
      <c r="A195" s="25">
        <v>134780001</v>
      </c>
      <c r="B195" s="26">
        <v>1437</v>
      </c>
      <c r="C195" s="24" t="s">
        <v>21</v>
      </c>
      <c r="D195" s="54">
        <v>43143</v>
      </c>
      <c r="E195" s="38" t="s">
        <v>9</v>
      </c>
      <c r="F195" s="28">
        <v>2</v>
      </c>
      <c r="G195" s="27" t="s">
        <v>64</v>
      </c>
      <c r="H195" s="23" t="s">
        <v>8</v>
      </c>
      <c r="I195" s="37">
        <f t="shared" si="6"/>
        <v>1</v>
      </c>
      <c r="J195" s="37" t="str">
        <f t="shared" si="7"/>
        <v>02/18</v>
      </c>
    </row>
    <row r="196" spans="1:10" x14ac:dyDescent="0.25">
      <c r="A196" s="25">
        <v>134780001</v>
      </c>
      <c r="B196" s="26">
        <v>1437</v>
      </c>
      <c r="C196" s="24" t="s">
        <v>21</v>
      </c>
      <c r="D196" s="54">
        <v>43143</v>
      </c>
      <c r="E196" s="38" t="s">
        <v>10</v>
      </c>
      <c r="F196" s="28">
        <v>4</v>
      </c>
      <c r="G196" s="27" t="s">
        <v>64</v>
      </c>
      <c r="H196" s="23" t="s">
        <v>8</v>
      </c>
      <c r="I196" s="37">
        <f t="shared" si="6"/>
        <v>1</v>
      </c>
      <c r="J196" s="37" t="str">
        <f t="shared" si="7"/>
        <v>02/18</v>
      </c>
    </row>
    <row r="197" spans="1:10" x14ac:dyDescent="0.25">
      <c r="A197" s="25">
        <v>201430001</v>
      </c>
      <c r="B197" s="26">
        <v>1437</v>
      </c>
      <c r="C197" s="24" t="s">
        <v>21</v>
      </c>
      <c r="D197" s="54">
        <v>43143</v>
      </c>
      <c r="E197" s="38" t="s">
        <v>9</v>
      </c>
      <c r="F197" s="28">
        <v>6</v>
      </c>
      <c r="G197" s="27" t="s">
        <v>64</v>
      </c>
      <c r="H197" s="23" t="s">
        <v>8</v>
      </c>
      <c r="I197" s="37">
        <f t="shared" si="6"/>
        <v>1</v>
      </c>
      <c r="J197" s="37" t="str">
        <f t="shared" si="7"/>
        <v>02/18</v>
      </c>
    </row>
    <row r="198" spans="1:10" x14ac:dyDescent="0.25">
      <c r="A198" s="25">
        <v>132490001</v>
      </c>
      <c r="B198" s="26">
        <v>1007</v>
      </c>
      <c r="C198" s="24" t="s">
        <v>19</v>
      </c>
      <c r="D198" s="54">
        <v>43143</v>
      </c>
      <c r="E198" s="38" t="s">
        <v>9</v>
      </c>
      <c r="F198" s="28">
        <v>1</v>
      </c>
      <c r="G198" s="27" t="s">
        <v>61</v>
      </c>
      <c r="H198" s="23" t="s">
        <v>8</v>
      </c>
      <c r="I198" s="37">
        <f t="shared" si="6"/>
        <v>1</v>
      </c>
      <c r="J198" s="37" t="str">
        <f t="shared" si="7"/>
        <v>02/18</v>
      </c>
    </row>
    <row r="199" spans="1:10" x14ac:dyDescent="0.25">
      <c r="A199" s="25">
        <v>133980001</v>
      </c>
      <c r="B199" s="26">
        <v>1007</v>
      </c>
      <c r="C199" s="24" t="s">
        <v>19</v>
      </c>
      <c r="D199" s="54">
        <v>43143</v>
      </c>
      <c r="E199" s="38" t="s">
        <v>9</v>
      </c>
      <c r="F199" s="28">
        <v>2</v>
      </c>
      <c r="G199" s="27" t="s">
        <v>61</v>
      </c>
      <c r="H199" s="23" t="s">
        <v>8</v>
      </c>
      <c r="I199" s="37">
        <f t="shared" si="6"/>
        <v>1</v>
      </c>
      <c r="J199" s="37" t="str">
        <f t="shared" si="7"/>
        <v>02/18</v>
      </c>
    </row>
    <row r="200" spans="1:10" x14ac:dyDescent="0.25">
      <c r="A200" s="25">
        <v>201430001</v>
      </c>
      <c r="B200" s="26">
        <v>1007</v>
      </c>
      <c r="C200" s="24" t="s">
        <v>19</v>
      </c>
      <c r="D200" s="54">
        <v>43143</v>
      </c>
      <c r="E200" s="38" t="s">
        <v>9</v>
      </c>
      <c r="F200" s="28">
        <v>1</v>
      </c>
      <c r="G200" s="27" t="s">
        <v>61</v>
      </c>
      <c r="H200" s="29" t="s">
        <v>8</v>
      </c>
      <c r="I200" s="37">
        <f t="shared" si="6"/>
        <v>1</v>
      </c>
      <c r="J200" s="37" t="str">
        <f t="shared" si="7"/>
        <v>02/18</v>
      </c>
    </row>
    <row r="201" spans="1:10" x14ac:dyDescent="0.25">
      <c r="A201" s="25">
        <v>134770001</v>
      </c>
      <c r="B201" s="26">
        <v>1007</v>
      </c>
      <c r="C201" s="24" t="s">
        <v>19</v>
      </c>
      <c r="D201" s="54">
        <v>43143</v>
      </c>
      <c r="E201" s="38" t="s">
        <v>9</v>
      </c>
      <c r="F201" s="28">
        <v>4</v>
      </c>
      <c r="G201" s="27" t="s">
        <v>61</v>
      </c>
      <c r="H201" s="29" t="s">
        <v>8</v>
      </c>
      <c r="I201" s="37">
        <f t="shared" si="6"/>
        <v>1</v>
      </c>
      <c r="J201" s="37" t="str">
        <f t="shared" si="7"/>
        <v>02/18</v>
      </c>
    </row>
    <row r="202" spans="1:10" x14ac:dyDescent="0.25">
      <c r="A202" s="25">
        <v>134770001</v>
      </c>
      <c r="B202" s="26">
        <v>1007</v>
      </c>
      <c r="C202" s="24" t="s">
        <v>19</v>
      </c>
      <c r="D202" s="54">
        <v>43143</v>
      </c>
      <c r="E202" s="38" t="s">
        <v>10</v>
      </c>
      <c r="F202" s="28">
        <v>4</v>
      </c>
      <c r="G202" s="27" t="s">
        <v>61</v>
      </c>
      <c r="H202" s="23" t="s">
        <v>8</v>
      </c>
      <c r="I202" s="37">
        <f t="shared" si="6"/>
        <v>1</v>
      </c>
      <c r="J202" s="37" t="str">
        <f t="shared" si="7"/>
        <v>02/18</v>
      </c>
    </row>
    <row r="203" spans="1:10" x14ac:dyDescent="0.25">
      <c r="A203" s="25">
        <v>134770001</v>
      </c>
      <c r="B203" s="26">
        <v>1007</v>
      </c>
      <c r="C203" s="24" t="s">
        <v>19</v>
      </c>
      <c r="D203" s="54">
        <v>43143</v>
      </c>
      <c r="E203" s="38" t="s">
        <v>7</v>
      </c>
      <c r="F203" s="28">
        <v>1</v>
      </c>
      <c r="G203" s="27" t="s">
        <v>61</v>
      </c>
      <c r="H203" s="23" t="s">
        <v>8</v>
      </c>
      <c r="I203" s="37">
        <f t="shared" si="6"/>
        <v>1</v>
      </c>
      <c r="J203" s="37" t="str">
        <f t="shared" si="7"/>
        <v>02/18</v>
      </c>
    </row>
    <row r="204" spans="1:10" x14ac:dyDescent="0.25">
      <c r="A204" s="25">
        <v>132490001</v>
      </c>
      <c r="B204" s="26">
        <v>1047</v>
      </c>
      <c r="C204" s="24" t="s">
        <v>21</v>
      </c>
      <c r="D204" s="54">
        <v>43143</v>
      </c>
      <c r="E204" s="38" t="s">
        <v>9</v>
      </c>
      <c r="F204" s="28">
        <v>8</v>
      </c>
      <c r="G204" s="27" t="s">
        <v>63</v>
      </c>
      <c r="H204" s="23" t="s">
        <v>8</v>
      </c>
      <c r="I204" s="37">
        <f t="shared" si="6"/>
        <v>1</v>
      </c>
      <c r="J204" s="37" t="str">
        <f t="shared" si="7"/>
        <v>02/18</v>
      </c>
    </row>
    <row r="205" spans="1:10" x14ac:dyDescent="0.25">
      <c r="A205" s="25">
        <v>133980001</v>
      </c>
      <c r="B205" s="26">
        <v>1082</v>
      </c>
      <c r="C205" s="24" t="s">
        <v>19</v>
      </c>
      <c r="D205" s="54">
        <v>43143</v>
      </c>
      <c r="E205" s="38" t="s">
        <v>9</v>
      </c>
      <c r="F205" s="28">
        <v>8</v>
      </c>
      <c r="G205" s="27" t="s">
        <v>57</v>
      </c>
      <c r="H205" s="23" t="s">
        <v>8</v>
      </c>
      <c r="I205" s="37">
        <f t="shared" si="6"/>
        <v>1</v>
      </c>
      <c r="J205" s="37" t="str">
        <f t="shared" si="7"/>
        <v>02/18</v>
      </c>
    </row>
    <row r="206" spans="1:10" x14ac:dyDescent="0.25">
      <c r="A206" s="25">
        <v>133980001</v>
      </c>
      <c r="B206" s="26">
        <v>1247</v>
      </c>
      <c r="C206" s="24" t="s">
        <v>20</v>
      </c>
      <c r="D206" s="54">
        <v>43143</v>
      </c>
      <c r="E206" s="38" t="s">
        <v>9</v>
      </c>
      <c r="F206" s="28">
        <v>2</v>
      </c>
      <c r="G206" s="27" t="s">
        <v>66</v>
      </c>
      <c r="H206" s="23" t="s">
        <v>8</v>
      </c>
      <c r="I206" s="37">
        <f t="shared" si="6"/>
        <v>1</v>
      </c>
      <c r="J206" s="37" t="str">
        <f t="shared" si="7"/>
        <v>02/18</v>
      </c>
    </row>
    <row r="207" spans="1:10" x14ac:dyDescent="0.25">
      <c r="A207" s="25">
        <v>201430001</v>
      </c>
      <c r="B207" s="26">
        <v>1247</v>
      </c>
      <c r="C207" s="24" t="s">
        <v>20</v>
      </c>
      <c r="D207" s="54">
        <v>43143</v>
      </c>
      <c r="E207" s="38" t="s">
        <v>9</v>
      </c>
      <c r="F207" s="28">
        <v>2</v>
      </c>
      <c r="G207" s="27" t="s">
        <v>66</v>
      </c>
      <c r="H207" s="23" t="s">
        <v>8</v>
      </c>
      <c r="I207" s="37">
        <f t="shared" si="6"/>
        <v>1</v>
      </c>
      <c r="J207" s="37" t="str">
        <f t="shared" si="7"/>
        <v>02/18</v>
      </c>
    </row>
    <row r="208" spans="1:10" x14ac:dyDescent="0.25">
      <c r="A208" s="25">
        <v>134770001</v>
      </c>
      <c r="B208" s="26">
        <v>1247</v>
      </c>
      <c r="C208" s="24" t="s">
        <v>20</v>
      </c>
      <c r="D208" s="54">
        <v>43143</v>
      </c>
      <c r="E208" s="38" t="s">
        <v>9</v>
      </c>
      <c r="F208" s="28">
        <v>4</v>
      </c>
      <c r="G208" s="27" t="s">
        <v>66</v>
      </c>
      <c r="H208" s="23" t="s">
        <v>8</v>
      </c>
      <c r="I208" s="37">
        <f t="shared" si="6"/>
        <v>1</v>
      </c>
      <c r="J208" s="37" t="str">
        <f t="shared" si="7"/>
        <v>02/18</v>
      </c>
    </row>
    <row r="209" spans="1:10" x14ac:dyDescent="0.25">
      <c r="A209" s="25">
        <v>134770001</v>
      </c>
      <c r="B209" s="26">
        <v>1247</v>
      </c>
      <c r="C209" s="24" t="s">
        <v>20</v>
      </c>
      <c r="D209" s="54">
        <v>43143</v>
      </c>
      <c r="E209" s="38" t="s">
        <v>10</v>
      </c>
      <c r="F209" s="28">
        <v>4</v>
      </c>
      <c r="G209" s="27" t="s">
        <v>66</v>
      </c>
      <c r="H209" s="23" t="s">
        <v>8</v>
      </c>
      <c r="I209" s="37">
        <f t="shared" si="6"/>
        <v>1</v>
      </c>
      <c r="J209" s="37" t="str">
        <f t="shared" si="7"/>
        <v>02/18</v>
      </c>
    </row>
    <row r="210" spans="1:10" x14ac:dyDescent="0.25">
      <c r="A210" s="25">
        <v>134770001</v>
      </c>
      <c r="B210" s="26">
        <v>1247</v>
      </c>
      <c r="C210" s="24" t="s">
        <v>20</v>
      </c>
      <c r="D210" s="54">
        <v>43143</v>
      </c>
      <c r="E210" s="38" t="s">
        <v>7</v>
      </c>
      <c r="F210" s="28">
        <v>1</v>
      </c>
      <c r="G210" s="27" t="s">
        <v>66</v>
      </c>
      <c r="H210" s="23" t="s">
        <v>8</v>
      </c>
      <c r="I210" s="37">
        <f t="shared" si="6"/>
        <v>1</v>
      </c>
      <c r="J210" s="37" t="str">
        <f t="shared" si="7"/>
        <v>02/18</v>
      </c>
    </row>
    <row r="211" spans="1:10" x14ac:dyDescent="0.25">
      <c r="A211" s="25">
        <v>132490001</v>
      </c>
      <c r="B211" s="26">
        <v>1204</v>
      </c>
      <c r="C211" s="24" t="s">
        <v>20</v>
      </c>
      <c r="D211" s="54">
        <v>43143</v>
      </c>
      <c r="E211" s="38" t="s">
        <v>9</v>
      </c>
      <c r="F211" s="28">
        <v>4</v>
      </c>
      <c r="G211" s="27" t="s">
        <v>75</v>
      </c>
      <c r="H211" s="29" t="s">
        <v>8</v>
      </c>
      <c r="I211" s="37">
        <f t="shared" si="6"/>
        <v>1</v>
      </c>
      <c r="J211" s="37" t="str">
        <f t="shared" si="7"/>
        <v>02/18</v>
      </c>
    </row>
    <row r="212" spans="1:10" x14ac:dyDescent="0.25">
      <c r="A212" s="25">
        <v>134770001</v>
      </c>
      <c r="B212" s="26">
        <v>1204</v>
      </c>
      <c r="C212" s="24" t="s">
        <v>20</v>
      </c>
      <c r="D212" s="54">
        <v>43143</v>
      </c>
      <c r="E212" s="38" t="s">
        <v>9</v>
      </c>
      <c r="F212" s="28">
        <v>4</v>
      </c>
      <c r="G212" s="27" t="s">
        <v>75</v>
      </c>
      <c r="H212" s="23" t="s">
        <v>8</v>
      </c>
      <c r="I212" s="37">
        <f t="shared" si="6"/>
        <v>1</v>
      </c>
      <c r="J212" s="37" t="str">
        <f t="shared" si="7"/>
        <v>02/18</v>
      </c>
    </row>
    <row r="213" spans="1:10" x14ac:dyDescent="0.25">
      <c r="A213" s="25">
        <v>134770001</v>
      </c>
      <c r="B213" s="26">
        <v>1204</v>
      </c>
      <c r="C213" s="24" t="s">
        <v>20</v>
      </c>
      <c r="D213" s="54">
        <v>43143</v>
      </c>
      <c r="E213" s="38" t="s">
        <v>10</v>
      </c>
      <c r="F213" s="28">
        <v>4</v>
      </c>
      <c r="G213" s="27" t="s">
        <v>75</v>
      </c>
      <c r="H213" s="23" t="s">
        <v>8</v>
      </c>
      <c r="I213" s="37">
        <f t="shared" si="6"/>
        <v>1</v>
      </c>
      <c r="J213" s="37" t="str">
        <f t="shared" si="7"/>
        <v>02/18</v>
      </c>
    </row>
    <row r="214" spans="1:10" x14ac:dyDescent="0.25">
      <c r="A214" s="25">
        <v>134770001</v>
      </c>
      <c r="B214" s="26">
        <v>1204</v>
      </c>
      <c r="C214" s="24" t="s">
        <v>20</v>
      </c>
      <c r="D214" s="54">
        <v>43143</v>
      </c>
      <c r="E214" s="38" t="s">
        <v>7</v>
      </c>
      <c r="F214" s="28">
        <v>1</v>
      </c>
      <c r="G214" s="27" t="s">
        <v>75</v>
      </c>
      <c r="H214" s="23" t="s">
        <v>8</v>
      </c>
      <c r="I214" s="37">
        <f t="shared" si="6"/>
        <v>1</v>
      </c>
      <c r="J214" s="37" t="str">
        <f t="shared" si="7"/>
        <v>02/18</v>
      </c>
    </row>
    <row r="215" spans="1:10" x14ac:dyDescent="0.25">
      <c r="A215" s="25">
        <v>132170001</v>
      </c>
      <c r="B215" s="26">
        <v>1209</v>
      </c>
      <c r="C215" s="24" t="s">
        <v>19</v>
      </c>
      <c r="D215" s="54">
        <v>43143</v>
      </c>
      <c r="E215" s="38" t="s">
        <v>9</v>
      </c>
      <c r="F215" s="28">
        <v>8</v>
      </c>
      <c r="G215" s="27" t="s">
        <v>55</v>
      </c>
      <c r="H215" s="23" t="s">
        <v>8</v>
      </c>
      <c r="I215" s="37">
        <f t="shared" si="6"/>
        <v>1</v>
      </c>
      <c r="J215" s="37" t="str">
        <f t="shared" si="7"/>
        <v>02/18</v>
      </c>
    </row>
    <row r="216" spans="1:10" x14ac:dyDescent="0.25">
      <c r="A216" s="25">
        <v>132170001</v>
      </c>
      <c r="B216" s="26">
        <v>1035</v>
      </c>
      <c r="C216" s="24" t="s">
        <v>23</v>
      </c>
      <c r="D216" s="54">
        <v>43143</v>
      </c>
      <c r="E216" s="38" t="s">
        <v>9</v>
      </c>
      <c r="F216" s="28">
        <v>8</v>
      </c>
      <c r="G216" s="27" t="s">
        <v>59</v>
      </c>
      <c r="H216" s="23" t="s">
        <v>8</v>
      </c>
      <c r="I216" s="37">
        <f t="shared" si="6"/>
        <v>1</v>
      </c>
      <c r="J216" s="37" t="str">
        <f t="shared" si="7"/>
        <v>02/18</v>
      </c>
    </row>
    <row r="217" spans="1:10" x14ac:dyDescent="0.25">
      <c r="A217" s="25">
        <v>132170001</v>
      </c>
      <c r="B217" s="26">
        <v>1309</v>
      </c>
      <c r="C217" s="24" t="s">
        <v>20</v>
      </c>
      <c r="D217" s="54">
        <v>43143</v>
      </c>
      <c r="E217" s="38" t="s">
        <v>9</v>
      </c>
      <c r="F217" s="28">
        <v>8</v>
      </c>
      <c r="G217" s="27" t="s">
        <v>60</v>
      </c>
      <c r="H217" s="23" t="s">
        <v>8</v>
      </c>
      <c r="I217" s="37">
        <f t="shared" si="6"/>
        <v>1</v>
      </c>
      <c r="J217" s="37" t="str">
        <f t="shared" si="7"/>
        <v>02/18</v>
      </c>
    </row>
    <row r="218" spans="1:10" x14ac:dyDescent="0.25">
      <c r="A218" s="25">
        <v>132170001</v>
      </c>
      <c r="B218" s="26">
        <v>996</v>
      </c>
      <c r="C218" s="24" t="s">
        <v>21</v>
      </c>
      <c r="D218" s="54">
        <v>43143</v>
      </c>
      <c r="E218" s="38" t="s">
        <v>9</v>
      </c>
      <c r="F218" s="28">
        <v>8</v>
      </c>
      <c r="G218" s="27" t="s">
        <v>58</v>
      </c>
      <c r="H218" s="23" t="s">
        <v>8</v>
      </c>
      <c r="I218" s="37">
        <f t="shared" si="6"/>
        <v>1</v>
      </c>
      <c r="J218" s="37" t="str">
        <f t="shared" si="7"/>
        <v>02/18</v>
      </c>
    </row>
    <row r="219" spans="1:10" x14ac:dyDescent="0.25">
      <c r="A219" s="25">
        <v>132270001</v>
      </c>
      <c r="B219" s="26">
        <v>1025</v>
      </c>
      <c r="C219" s="24" t="s">
        <v>19</v>
      </c>
      <c r="D219" s="54">
        <v>43143</v>
      </c>
      <c r="E219" s="38" t="s">
        <v>9</v>
      </c>
      <c r="F219" s="28">
        <v>8</v>
      </c>
      <c r="G219" s="27" t="s">
        <v>67</v>
      </c>
      <c r="H219" s="29" t="s">
        <v>8</v>
      </c>
      <c r="I219" s="37">
        <f t="shared" si="6"/>
        <v>1</v>
      </c>
      <c r="J219" s="37" t="str">
        <f t="shared" si="7"/>
        <v>02/18</v>
      </c>
    </row>
    <row r="220" spans="1:10" x14ac:dyDescent="0.25">
      <c r="A220" s="25">
        <v>132270001</v>
      </c>
      <c r="B220" s="26">
        <v>1025</v>
      </c>
      <c r="C220" s="24" t="s">
        <v>19</v>
      </c>
      <c r="D220" s="54">
        <v>43143</v>
      </c>
      <c r="E220" s="38" t="s">
        <v>10</v>
      </c>
      <c r="F220" s="28">
        <v>4</v>
      </c>
      <c r="G220" s="27" t="s">
        <v>67</v>
      </c>
      <c r="H220" s="23" t="s">
        <v>8</v>
      </c>
      <c r="I220" s="37">
        <f t="shared" si="6"/>
        <v>1</v>
      </c>
      <c r="J220" s="37" t="str">
        <f t="shared" si="7"/>
        <v>02/18</v>
      </c>
    </row>
    <row r="221" spans="1:10" x14ac:dyDescent="0.25">
      <c r="A221" s="25">
        <v>132270001</v>
      </c>
      <c r="B221" s="26">
        <v>1027</v>
      </c>
      <c r="C221" s="24" t="s">
        <v>22</v>
      </c>
      <c r="D221" s="54">
        <v>43143</v>
      </c>
      <c r="E221" s="38" t="s">
        <v>9</v>
      </c>
      <c r="F221" s="28">
        <v>8</v>
      </c>
      <c r="G221" s="27" t="s">
        <v>68</v>
      </c>
      <c r="H221" s="23">
        <v>2</v>
      </c>
      <c r="I221" s="37">
        <f t="shared" si="6"/>
        <v>1</v>
      </c>
      <c r="J221" s="37" t="str">
        <f t="shared" si="7"/>
        <v>02/18</v>
      </c>
    </row>
    <row r="222" spans="1:10" x14ac:dyDescent="0.25">
      <c r="A222" s="25">
        <v>132270001</v>
      </c>
      <c r="B222" s="26">
        <v>1027</v>
      </c>
      <c r="C222" s="24" t="s">
        <v>22</v>
      </c>
      <c r="D222" s="54">
        <v>43143</v>
      </c>
      <c r="E222" s="38" t="s">
        <v>10</v>
      </c>
      <c r="F222" s="28">
        <v>1</v>
      </c>
      <c r="G222" s="27" t="s">
        <v>68</v>
      </c>
      <c r="H222" s="23">
        <v>2</v>
      </c>
      <c r="I222" s="37">
        <f t="shared" si="6"/>
        <v>1</v>
      </c>
      <c r="J222" s="37" t="str">
        <f t="shared" si="7"/>
        <v>02/18</v>
      </c>
    </row>
    <row r="223" spans="1:10" x14ac:dyDescent="0.25">
      <c r="A223" s="25">
        <v>132270001</v>
      </c>
      <c r="B223" s="26">
        <v>1121</v>
      </c>
      <c r="C223" s="24" t="s">
        <v>21</v>
      </c>
      <c r="D223" s="54">
        <v>43143</v>
      </c>
      <c r="E223" s="38" t="s">
        <v>9</v>
      </c>
      <c r="F223" s="28">
        <v>8</v>
      </c>
      <c r="G223" s="27" t="s">
        <v>69</v>
      </c>
      <c r="H223" s="23" t="s">
        <v>8</v>
      </c>
      <c r="I223" s="37">
        <f t="shared" si="6"/>
        <v>1</v>
      </c>
      <c r="J223" s="37" t="str">
        <f t="shared" si="7"/>
        <v>02/18</v>
      </c>
    </row>
    <row r="224" spans="1:10" x14ac:dyDescent="0.25">
      <c r="A224" s="25">
        <v>132270001</v>
      </c>
      <c r="B224" s="26">
        <v>1121</v>
      </c>
      <c r="C224" s="24" t="s">
        <v>21</v>
      </c>
      <c r="D224" s="54">
        <v>43143</v>
      </c>
      <c r="E224" s="38" t="s">
        <v>10</v>
      </c>
      <c r="F224" s="28">
        <v>1</v>
      </c>
      <c r="G224" s="27" t="s">
        <v>69</v>
      </c>
      <c r="H224" s="23" t="s">
        <v>8</v>
      </c>
      <c r="I224" s="37">
        <f t="shared" si="6"/>
        <v>1</v>
      </c>
      <c r="J224" s="37" t="str">
        <f t="shared" si="7"/>
        <v>02/18</v>
      </c>
    </row>
    <row r="225" spans="1:10" x14ac:dyDescent="0.25">
      <c r="A225" s="25">
        <v>132270001</v>
      </c>
      <c r="B225" s="26">
        <v>1360</v>
      </c>
      <c r="C225" s="24" t="s">
        <v>24</v>
      </c>
      <c r="D225" s="54">
        <v>43143</v>
      </c>
      <c r="E225" s="38" t="s">
        <v>9</v>
      </c>
      <c r="F225" s="28">
        <v>8</v>
      </c>
      <c r="G225" s="27" t="s">
        <v>56</v>
      </c>
      <c r="H225" s="23">
        <v>4</v>
      </c>
      <c r="I225" s="37">
        <f t="shared" si="6"/>
        <v>1</v>
      </c>
      <c r="J225" s="37" t="str">
        <f t="shared" si="7"/>
        <v>02/18</v>
      </c>
    </row>
    <row r="226" spans="1:10" x14ac:dyDescent="0.25">
      <c r="A226" s="25">
        <v>132270001</v>
      </c>
      <c r="B226" s="26">
        <v>1360</v>
      </c>
      <c r="C226" s="24" t="s">
        <v>24</v>
      </c>
      <c r="D226" s="54">
        <v>43143</v>
      </c>
      <c r="E226" s="38" t="s">
        <v>10</v>
      </c>
      <c r="F226" s="28">
        <v>1</v>
      </c>
      <c r="G226" s="27" t="s">
        <v>56</v>
      </c>
      <c r="H226" s="29">
        <v>4</v>
      </c>
      <c r="I226" s="37">
        <f t="shared" si="6"/>
        <v>1</v>
      </c>
      <c r="J226" s="37" t="str">
        <f t="shared" si="7"/>
        <v>02/18</v>
      </c>
    </row>
    <row r="227" spans="1:10" x14ac:dyDescent="0.25">
      <c r="A227" s="25">
        <v>132270001</v>
      </c>
      <c r="B227" s="26">
        <v>1120</v>
      </c>
      <c r="C227" s="24" t="s">
        <v>21</v>
      </c>
      <c r="D227" s="54">
        <v>43143</v>
      </c>
      <c r="E227" s="38" t="s">
        <v>9</v>
      </c>
      <c r="F227" s="28">
        <v>8</v>
      </c>
      <c r="G227" s="27" t="s">
        <v>70</v>
      </c>
      <c r="H227" s="23" t="s">
        <v>8</v>
      </c>
      <c r="I227" s="37">
        <f t="shared" si="6"/>
        <v>1</v>
      </c>
      <c r="J227" s="37" t="str">
        <f t="shared" si="7"/>
        <v>02/18</v>
      </c>
    </row>
    <row r="228" spans="1:10" x14ac:dyDescent="0.25">
      <c r="A228" s="25">
        <v>132270001</v>
      </c>
      <c r="B228" s="26">
        <v>1120</v>
      </c>
      <c r="C228" s="24" t="s">
        <v>21</v>
      </c>
      <c r="D228" s="54">
        <v>43143</v>
      </c>
      <c r="E228" s="38" t="s">
        <v>10</v>
      </c>
      <c r="F228" s="28">
        <v>1</v>
      </c>
      <c r="G228" s="27" t="s">
        <v>70</v>
      </c>
      <c r="H228" s="23" t="s">
        <v>8</v>
      </c>
      <c r="I228" s="37">
        <f t="shared" si="6"/>
        <v>1</v>
      </c>
      <c r="J228" s="37" t="str">
        <f t="shared" si="7"/>
        <v>02/18</v>
      </c>
    </row>
    <row r="229" spans="1:10" x14ac:dyDescent="0.25">
      <c r="A229" s="25">
        <v>132270001</v>
      </c>
      <c r="B229" s="26">
        <v>1354</v>
      </c>
      <c r="C229" s="24" t="s">
        <v>21</v>
      </c>
      <c r="D229" s="54">
        <v>43143</v>
      </c>
      <c r="E229" s="38" t="s">
        <v>9</v>
      </c>
      <c r="F229" s="28">
        <v>8</v>
      </c>
      <c r="G229" s="27" t="s">
        <v>71</v>
      </c>
      <c r="H229" s="23" t="s">
        <v>8</v>
      </c>
      <c r="I229" s="37">
        <f t="shared" si="6"/>
        <v>1</v>
      </c>
      <c r="J229" s="37" t="str">
        <f t="shared" si="7"/>
        <v>02/18</v>
      </c>
    </row>
    <row r="230" spans="1:10" x14ac:dyDescent="0.25">
      <c r="A230" s="25">
        <v>132270001</v>
      </c>
      <c r="B230" s="26">
        <v>1354</v>
      </c>
      <c r="C230" s="24" t="s">
        <v>21</v>
      </c>
      <c r="D230" s="54">
        <v>43143</v>
      </c>
      <c r="E230" s="38" t="s">
        <v>10</v>
      </c>
      <c r="F230" s="28">
        <v>1</v>
      </c>
      <c r="G230" s="27" t="s">
        <v>71</v>
      </c>
      <c r="H230" s="23" t="s">
        <v>8</v>
      </c>
      <c r="I230" s="37">
        <f t="shared" si="6"/>
        <v>1</v>
      </c>
      <c r="J230" s="37" t="str">
        <f t="shared" si="7"/>
        <v>02/18</v>
      </c>
    </row>
    <row r="231" spans="1:10" x14ac:dyDescent="0.25">
      <c r="A231" s="25">
        <v>132270001</v>
      </c>
      <c r="B231" s="26">
        <v>1212</v>
      </c>
      <c r="C231" s="24" t="s">
        <v>20</v>
      </c>
      <c r="D231" s="54">
        <v>43143</v>
      </c>
      <c r="E231" s="38" t="s">
        <v>9</v>
      </c>
      <c r="F231" s="28">
        <v>8</v>
      </c>
      <c r="G231" s="27" t="s">
        <v>72</v>
      </c>
      <c r="H231" s="29" t="s">
        <v>8</v>
      </c>
      <c r="I231" s="37">
        <f t="shared" si="6"/>
        <v>1</v>
      </c>
      <c r="J231" s="37" t="str">
        <f t="shared" si="7"/>
        <v>02/18</v>
      </c>
    </row>
    <row r="232" spans="1:10" x14ac:dyDescent="0.25">
      <c r="A232" s="25">
        <v>132270001</v>
      </c>
      <c r="B232" s="26">
        <v>1212</v>
      </c>
      <c r="C232" s="24" t="s">
        <v>20</v>
      </c>
      <c r="D232" s="54">
        <v>43143</v>
      </c>
      <c r="E232" s="38" t="s">
        <v>10</v>
      </c>
      <c r="F232" s="28">
        <v>1</v>
      </c>
      <c r="G232" s="27" t="s">
        <v>72</v>
      </c>
      <c r="H232" s="29" t="s">
        <v>8</v>
      </c>
      <c r="I232" s="37">
        <f t="shared" si="6"/>
        <v>1</v>
      </c>
      <c r="J232" s="37" t="str">
        <f t="shared" si="7"/>
        <v>02/18</v>
      </c>
    </row>
    <row r="233" spans="1:10" x14ac:dyDescent="0.25">
      <c r="A233" s="25">
        <v>132170001</v>
      </c>
      <c r="B233" s="26">
        <v>1122</v>
      </c>
      <c r="C233" s="24" t="s">
        <v>22</v>
      </c>
      <c r="D233" s="54">
        <v>43144</v>
      </c>
      <c r="E233" s="38" t="s">
        <v>9</v>
      </c>
      <c r="F233" s="28">
        <v>8</v>
      </c>
      <c r="G233" s="27" t="s">
        <v>54</v>
      </c>
      <c r="H233" s="23">
        <v>2</v>
      </c>
      <c r="I233" s="37">
        <f t="shared" si="6"/>
        <v>2</v>
      </c>
      <c r="J233" s="37" t="str">
        <f t="shared" si="7"/>
        <v>02/18</v>
      </c>
    </row>
    <row r="234" spans="1:10" x14ac:dyDescent="0.25">
      <c r="A234" s="25">
        <v>132170001</v>
      </c>
      <c r="B234" s="26">
        <v>1209</v>
      </c>
      <c r="C234" s="24" t="s">
        <v>19</v>
      </c>
      <c r="D234" s="54">
        <v>43144</v>
      </c>
      <c r="E234" s="38" t="s">
        <v>9</v>
      </c>
      <c r="F234" s="28">
        <v>8</v>
      </c>
      <c r="G234" s="27" t="s">
        <v>55</v>
      </c>
      <c r="H234" s="23" t="s">
        <v>8</v>
      </c>
      <c r="I234" s="37">
        <f t="shared" si="6"/>
        <v>2</v>
      </c>
      <c r="J234" s="37" t="str">
        <f t="shared" si="7"/>
        <v>02/18</v>
      </c>
    </row>
    <row r="235" spans="1:10" x14ac:dyDescent="0.25">
      <c r="A235" s="25">
        <v>132170001</v>
      </c>
      <c r="B235" s="26">
        <v>1035</v>
      </c>
      <c r="C235" s="24" t="s">
        <v>23</v>
      </c>
      <c r="D235" s="54">
        <v>43144</v>
      </c>
      <c r="E235" s="38" t="s">
        <v>9</v>
      </c>
      <c r="F235" s="28">
        <v>8</v>
      </c>
      <c r="G235" s="27" t="s">
        <v>59</v>
      </c>
      <c r="H235" s="23" t="s">
        <v>8</v>
      </c>
      <c r="I235" s="37">
        <f t="shared" si="6"/>
        <v>2</v>
      </c>
      <c r="J235" s="37" t="str">
        <f t="shared" si="7"/>
        <v>02/18</v>
      </c>
    </row>
    <row r="236" spans="1:10" x14ac:dyDescent="0.25">
      <c r="A236" s="25">
        <v>132170001</v>
      </c>
      <c r="B236" s="26">
        <v>996</v>
      </c>
      <c r="C236" s="24" t="s">
        <v>21</v>
      </c>
      <c r="D236" s="54">
        <v>43144</v>
      </c>
      <c r="E236" s="38" t="s">
        <v>9</v>
      </c>
      <c r="F236" s="28">
        <v>8</v>
      </c>
      <c r="G236" s="27" t="s">
        <v>58</v>
      </c>
      <c r="H236" s="23" t="s">
        <v>8</v>
      </c>
      <c r="I236" s="37">
        <f t="shared" si="6"/>
        <v>2</v>
      </c>
      <c r="J236" s="37" t="str">
        <f t="shared" si="7"/>
        <v>02/18</v>
      </c>
    </row>
    <row r="237" spans="1:10" x14ac:dyDescent="0.25">
      <c r="A237" s="25">
        <v>132170001</v>
      </c>
      <c r="B237" s="26">
        <v>1309</v>
      </c>
      <c r="C237" s="24" t="s">
        <v>20</v>
      </c>
      <c r="D237" s="54">
        <v>43144</v>
      </c>
      <c r="E237" s="38" t="s">
        <v>9</v>
      </c>
      <c r="F237" s="28">
        <v>8</v>
      </c>
      <c r="G237" s="27" t="s">
        <v>60</v>
      </c>
      <c r="H237" s="23" t="s">
        <v>8</v>
      </c>
      <c r="I237" s="37">
        <f t="shared" si="6"/>
        <v>2</v>
      </c>
      <c r="J237" s="37" t="str">
        <f t="shared" si="7"/>
        <v>02/18</v>
      </c>
    </row>
    <row r="238" spans="1:10" x14ac:dyDescent="0.25">
      <c r="A238" s="25">
        <v>134780001</v>
      </c>
      <c r="B238" s="26">
        <v>1437</v>
      </c>
      <c r="C238" s="24" t="s">
        <v>21</v>
      </c>
      <c r="D238" s="54">
        <v>43144</v>
      </c>
      <c r="E238" s="38" t="s">
        <v>9</v>
      </c>
      <c r="F238" s="28">
        <v>8</v>
      </c>
      <c r="G238" s="27" t="s">
        <v>64</v>
      </c>
      <c r="H238" s="23" t="s">
        <v>8</v>
      </c>
      <c r="I238" s="37">
        <f t="shared" si="6"/>
        <v>2</v>
      </c>
      <c r="J238" s="37" t="str">
        <f t="shared" si="7"/>
        <v>02/18</v>
      </c>
    </row>
    <row r="239" spans="1:10" x14ac:dyDescent="0.25">
      <c r="A239" s="25">
        <v>134780001</v>
      </c>
      <c r="B239" s="26">
        <v>1437</v>
      </c>
      <c r="C239" s="24" t="s">
        <v>21</v>
      </c>
      <c r="D239" s="54">
        <v>43144</v>
      </c>
      <c r="E239" s="38" t="s">
        <v>10</v>
      </c>
      <c r="F239" s="28">
        <v>3.5</v>
      </c>
      <c r="G239" s="27" t="s">
        <v>64</v>
      </c>
      <c r="H239" s="23" t="s">
        <v>8</v>
      </c>
      <c r="I239" s="37">
        <f t="shared" si="6"/>
        <v>2</v>
      </c>
      <c r="J239" s="37" t="str">
        <f t="shared" si="7"/>
        <v>02/18</v>
      </c>
    </row>
    <row r="240" spans="1:10" x14ac:dyDescent="0.25">
      <c r="A240" s="25">
        <v>134780001</v>
      </c>
      <c r="B240" s="26">
        <v>1032</v>
      </c>
      <c r="C240" s="24" t="s">
        <v>21</v>
      </c>
      <c r="D240" s="54">
        <v>43144</v>
      </c>
      <c r="E240" s="38" t="s">
        <v>9</v>
      </c>
      <c r="F240" s="28">
        <v>8</v>
      </c>
      <c r="G240" s="27" t="s">
        <v>62</v>
      </c>
      <c r="H240" s="23" t="s">
        <v>8</v>
      </c>
      <c r="I240" s="37">
        <f t="shared" si="6"/>
        <v>2</v>
      </c>
      <c r="J240" s="37" t="str">
        <f t="shared" si="7"/>
        <v>02/18</v>
      </c>
    </row>
    <row r="241" spans="1:10" x14ac:dyDescent="0.25">
      <c r="A241" s="25">
        <v>134780001</v>
      </c>
      <c r="B241" s="26">
        <v>1032</v>
      </c>
      <c r="C241" s="24" t="s">
        <v>21</v>
      </c>
      <c r="D241" s="54">
        <v>43144</v>
      </c>
      <c r="E241" s="38" t="s">
        <v>10</v>
      </c>
      <c r="F241" s="28">
        <v>4</v>
      </c>
      <c r="G241" s="27" t="s">
        <v>62</v>
      </c>
      <c r="H241" s="23" t="s">
        <v>8</v>
      </c>
      <c r="I241" s="37">
        <f t="shared" si="6"/>
        <v>2</v>
      </c>
      <c r="J241" s="37" t="str">
        <f t="shared" si="7"/>
        <v>02/18</v>
      </c>
    </row>
    <row r="242" spans="1:10" x14ac:dyDescent="0.25">
      <c r="A242" s="25">
        <v>106950001</v>
      </c>
      <c r="B242" s="26">
        <v>1480</v>
      </c>
      <c r="C242" s="24" t="s">
        <v>21</v>
      </c>
      <c r="D242" s="54">
        <v>43144</v>
      </c>
      <c r="E242" s="38" t="s">
        <v>9</v>
      </c>
      <c r="F242" s="28">
        <v>8</v>
      </c>
      <c r="G242" s="27" t="s">
        <v>53</v>
      </c>
      <c r="H242" s="23" t="s">
        <v>8</v>
      </c>
      <c r="I242" s="37">
        <f t="shared" si="6"/>
        <v>2</v>
      </c>
      <c r="J242" s="37" t="str">
        <f t="shared" si="7"/>
        <v>02/18</v>
      </c>
    </row>
    <row r="243" spans="1:10" x14ac:dyDescent="0.25">
      <c r="A243" s="25">
        <v>106950001</v>
      </c>
      <c r="B243" s="26">
        <v>1480</v>
      </c>
      <c r="C243" s="24" t="s">
        <v>21</v>
      </c>
      <c r="D243" s="54">
        <v>43144</v>
      </c>
      <c r="E243" s="38" t="s">
        <v>10</v>
      </c>
      <c r="F243" s="28">
        <v>4</v>
      </c>
      <c r="G243" s="27" t="s">
        <v>53</v>
      </c>
      <c r="H243" s="29" t="s">
        <v>8</v>
      </c>
      <c r="I243" s="37">
        <f t="shared" si="6"/>
        <v>2</v>
      </c>
      <c r="J243" s="37" t="str">
        <f t="shared" si="7"/>
        <v>02/18</v>
      </c>
    </row>
    <row r="244" spans="1:10" x14ac:dyDescent="0.25">
      <c r="A244" s="25">
        <v>132170001</v>
      </c>
      <c r="B244" s="26">
        <v>1007</v>
      </c>
      <c r="C244" s="24" t="s">
        <v>19</v>
      </c>
      <c r="D244" s="54">
        <v>43144</v>
      </c>
      <c r="E244" s="38" t="s">
        <v>9</v>
      </c>
      <c r="F244" s="28">
        <v>8</v>
      </c>
      <c r="G244" s="27" t="s">
        <v>61</v>
      </c>
      <c r="H244" s="29" t="s">
        <v>8</v>
      </c>
      <c r="I244" s="37">
        <f t="shared" ref="I244:I307" si="8">WEEKDAY(D244,2)</f>
        <v>2</v>
      </c>
      <c r="J244" s="37" t="str">
        <f t="shared" si="7"/>
        <v>02/18</v>
      </c>
    </row>
    <row r="245" spans="1:10" x14ac:dyDescent="0.25">
      <c r="A245" s="25">
        <v>132170001</v>
      </c>
      <c r="B245" s="26">
        <v>1007</v>
      </c>
      <c r="C245" s="24" t="s">
        <v>19</v>
      </c>
      <c r="D245" s="54">
        <v>43144</v>
      </c>
      <c r="E245" s="38" t="s">
        <v>10</v>
      </c>
      <c r="F245" s="28">
        <v>1.5</v>
      </c>
      <c r="G245" s="27" t="s">
        <v>61</v>
      </c>
      <c r="H245" s="29" t="s">
        <v>8</v>
      </c>
      <c r="I245" s="37">
        <f t="shared" si="8"/>
        <v>2</v>
      </c>
      <c r="J245" s="37" t="str">
        <f t="shared" si="7"/>
        <v>02/18</v>
      </c>
    </row>
    <row r="246" spans="1:10" x14ac:dyDescent="0.25">
      <c r="A246" s="25">
        <v>132170001</v>
      </c>
      <c r="B246" s="26">
        <v>1047</v>
      </c>
      <c r="C246" s="24" t="s">
        <v>21</v>
      </c>
      <c r="D246" s="54">
        <v>43144</v>
      </c>
      <c r="E246" s="38" t="s">
        <v>9</v>
      </c>
      <c r="F246" s="28">
        <v>2</v>
      </c>
      <c r="G246" s="27" t="s">
        <v>63</v>
      </c>
      <c r="H246" s="29" t="s">
        <v>8</v>
      </c>
      <c r="I246" s="37">
        <f t="shared" si="8"/>
        <v>2</v>
      </c>
      <c r="J246" s="37" t="str">
        <f t="shared" si="7"/>
        <v>02/18</v>
      </c>
    </row>
    <row r="247" spans="1:10" x14ac:dyDescent="0.25">
      <c r="A247" s="25">
        <v>132490001</v>
      </c>
      <c r="B247" s="26">
        <v>1047</v>
      </c>
      <c r="C247" s="24" t="s">
        <v>21</v>
      </c>
      <c r="D247" s="54">
        <v>43144</v>
      </c>
      <c r="E247" s="38" t="s">
        <v>9</v>
      </c>
      <c r="F247" s="28">
        <v>4</v>
      </c>
      <c r="G247" s="27" t="s">
        <v>63</v>
      </c>
      <c r="H247" s="29" t="s">
        <v>8</v>
      </c>
      <c r="I247" s="37">
        <f t="shared" si="8"/>
        <v>2</v>
      </c>
      <c r="J247" s="37" t="str">
        <f t="shared" si="7"/>
        <v>02/18</v>
      </c>
    </row>
    <row r="248" spans="1:10" x14ac:dyDescent="0.25">
      <c r="A248" s="25">
        <v>133980001</v>
      </c>
      <c r="B248" s="26">
        <v>1047</v>
      </c>
      <c r="C248" s="24" t="s">
        <v>21</v>
      </c>
      <c r="D248" s="54">
        <v>43144</v>
      </c>
      <c r="E248" s="38" t="s">
        <v>9</v>
      </c>
      <c r="F248" s="28">
        <v>2</v>
      </c>
      <c r="G248" s="27" t="s">
        <v>63</v>
      </c>
      <c r="H248" s="29" t="s">
        <v>8</v>
      </c>
      <c r="I248" s="37">
        <f t="shared" si="8"/>
        <v>2</v>
      </c>
      <c r="J248" s="37" t="str">
        <f t="shared" si="7"/>
        <v>02/18</v>
      </c>
    </row>
    <row r="249" spans="1:10" x14ac:dyDescent="0.25">
      <c r="A249" s="25">
        <v>132490001</v>
      </c>
      <c r="B249" s="26">
        <v>1253</v>
      </c>
      <c r="C249" s="24" t="s">
        <v>21</v>
      </c>
      <c r="D249" s="54">
        <v>43144</v>
      </c>
      <c r="E249" s="38" t="s">
        <v>9</v>
      </c>
      <c r="F249" s="28">
        <v>8</v>
      </c>
      <c r="G249" s="27" t="s">
        <v>65</v>
      </c>
      <c r="H249" s="23" t="s">
        <v>8</v>
      </c>
      <c r="I249" s="37">
        <f t="shared" si="8"/>
        <v>2</v>
      </c>
      <c r="J249" s="37" t="str">
        <f t="shared" si="7"/>
        <v>02/18</v>
      </c>
    </row>
    <row r="250" spans="1:10" x14ac:dyDescent="0.25">
      <c r="A250" s="25">
        <v>132170001</v>
      </c>
      <c r="B250" s="26">
        <v>1247</v>
      </c>
      <c r="C250" s="24" t="s">
        <v>20</v>
      </c>
      <c r="D250" s="54">
        <v>43144</v>
      </c>
      <c r="E250" s="38" t="s">
        <v>9</v>
      </c>
      <c r="F250" s="28">
        <v>8</v>
      </c>
      <c r="G250" s="27" t="s">
        <v>66</v>
      </c>
      <c r="H250" s="23" t="s">
        <v>8</v>
      </c>
      <c r="I250" s="37">
        <f t="shared" si="8"/>
        <v>2</v>
      </c>
      <c r="J250" s="37" t="str">
        <f t="shared" si="7"/>
        <v>02/18</v>
      </c>
    </row>
    <row r="251" spans="1:10" x14ac:dyDescent="0.25">
      <c r="A251" s="25">
        <v>132170001</v>
      </c>
      <c r="B251" s="26">
        <v>1247</v>
      </c>
      <c r="C251" s="24" t="s">
        <v>20</v>
      </c>
      <c r="D251" s="54">
        <v>43144</v>
      </c>
      <c r="E251" s="38" t="s">
        <v>10</v>
      </c>
      <c r="F251" s="28">
        <v>1.5</v>
      </c>
      <c r="G251" s="27" t="s">
        <v>66</v>
      </c>
      <c r="H251" s="23" t="s">
        <v>8</v>
      </c>
      <c r="I251" s="37">
        <f t="shared" si="8"/>
        <v>2</v>
      </c>
      <c r="J251" s="37" t="str">
        <f t="shared" si="7"/>
        <v>02/18</v>
      </c>
    </row>
    <row r="252" spans="1:10" x14ac:dyDescent="0.25">
      <c r="A252" s="25">
        <v>132170001</v>
      </c>
      <c r="B252" s="26">
        <v>1204</v>
      </c>
      <c r="C252" s="24" t="s">
        <v>20</v>
      </c>
      <c r="D252" s="54">
        <v>43144</v>
      </c>
      <c r="E252" s="38" t="s">
        <v>9</v>
      </c>
      <c r="F252" s="28">
        <v>8</v>
      </c>
      <c r="G252" s="27" t="s">
        <v>75</v>
      </c>
      <c r="H252" s="23" t="s">
        <v>8</v>
      </c>
      <c r="I252" s="37">
        <f t="shared" si="8"/>
        <v>2</v>
      </c>
      <c r="J252" s="37" t="str">
        <f t="shared" si="7"/>
        <v>02/18</v>
      </c>
    </row>
    <row r="253" spans="1:10" x14ac:dyDescent="0.25">
      <c r="A253" s="25">
        <v>132170001</v>
      </c>
      <c r="B253" s="26">
        <v>1204</v>
      </c>
      <c r="C253" s="24" t="s">
        <v>20</v>
      </c>
      <c r="D253" s="54">
        <v>43144</v>
      </c>
      <c r="E253" s="38" t="s">
        <v>10</v>
      </c>
      <c r="F253" s="28">
        <v>3.5</v>
      </c>
      <c r="G253" s="27" t="s">
        <v>75</v>
      </c>
      <c r="H253" s="23" t="s">
        <v>8</v>
      </c>
      <c r="I253" s="37">
        <f t="shared" si="8"/>
        <v>2</v>
      </c>
      <c r="J253" s="37" t="str">
        <f t="shared" si="7"/>
        <v>02/18</v>
      </c>
    </row>
    <row r="254" spans="1:10" x14ac:dyDescent="0.25">
      <c r="A254" s="25">
        <v>132270001</v>
      </c>
      <c r="B254" s="26">
        <v>1025</v>
      </c>
      <c r="C254" s="24" t="s">
        <v>19</v>
      </c>
      <c r="D254" s="54">
        <v>43144</v>
      </c>
      <c r="E254" s="38" t="s">
        <v>9</v>
      </c>
      <c r="F254" s="28">
        <v>8</v>
      </c>
      <c r="G254" s="27" t="s">
        <v>67</v>
      </c>
      <c r="H254" s="23" t="s">
        <v>8</v>
      </c>
      <c r="I254" s="37">
        <f t="shared" si="8"/>
        <v>2</v>
      </c>
      <c r="J254" s="37" t="str">
        <f t="shared" si="7"/>
        <v>02/18</v>
      </c>
    </row>
    <row r="255" spans="1:10" x14ac:dyDescent="0.25">
      <c r="A255" s="25">
        <v>132270001</v>
      </c>
      <c r="B255" s="26">
        <v>1025</v>
      </c>
      <c r="C255" s="24" t="s">
        <v>19</v>
      </c>
      <c r="D255" s="54">
        <v>43144</v>
      </c>
      <c r="E255" s="38" t="s">
        <v>10</v>
      </c>
      <c r="F255" s="28">
        <v>2</v>
      </c>
      <c r="G255" s="27" t="s">
        <v>67</v>
      </c>
      <c r="H255" s="23" t="s">
        <v>8</v>
      </c>
      <c r="I255" s="37">
        <f t="shared" si="8"/>
        <v>2</v>
      </c>
      <c r="J255" s="37" t="str">
        <f t="shared" si="7"/>
        <v>02/18</v>
      </c>
    </row>
    <row r="256" spans="1:10" x14ac:dyDescent="0.25">
      <c r="A256" s="25">
        <v>132270001</v>
      </c>
      <c r="B256" s="26">
        <v>1027</v>
      </c>
      <c r="C256" s="24" t="s">
        <v>22</v>
      </c>
      <c r="D256" s="54">
        <v>43144</v>
      </c>
      <c r="E256" s="38" t="s">
        <v>9</v>
      </c>
      <c r="F256" s="28">
        <v>8</v>
      </c>
      <c r="G256" s="27" t="s">
        <v>68</v>
      </c>
      <c r="H256" s="23">
        <v>2</v>
      </c>
      <c r="I256" s="37">
        <f t="shared" si="8"/>
        <v>2</v>
      </c>
      <c r="J256" s="37" t="str">
        <f t="shared" si="7"/>
        <v>02/18</v>
      </c>
    </row>
    <row r="257" spans="1:10" x14ac:dyDescent="0.25">
      <c r="A257" s="25">
        <v>132270001</v>
      </c>
      <c r="B257" s="26">
        <v>1027</v>
      </c>
      <c r="C257" s="24" t="s">
        <v>22</v>
      </c>
      <c r="D257" s="54">
        <v>43144</v>
      </c>
      <c r="E257" s="38" t="s">
        <v>10</v>
      </c>
      <c r="F257" s="28">
        <v>1</v>
      </c>
      <c r="G257" s="27" t="s">
        <v>68</v>
      </c>
      <c r="H257" s="23">
        <v>2</v>
      </c>
      <c r="I257" s="37">
        <f t="shared" si="8"/>
        <v>2</v>
      </c>
      <c r="J257" s="37" t="str">
        <f t="shared" si="7"/>
        <v>02/18</v>
      </c>
    </row>
    <row r="258" spans="1:10" x14ac:dyDescent="0.25">
      <c r="A258" s="25">
        <v>132270001</v>
      </c>
      <c r="B258" s="26">
        <v>1121</v>
      </c>
      <c r="C258" s="24" t="s">
        <v>21</v>
      </c>
      <c r="D258" s="54">
        <v>43144</v>
      </c>
      <c r="E258" s="38" t="s">
        <v>9</v>
      </c>
      <c r="F258" s="28">
        <v>8</v>
      </c>
      <c r="G258" s="27" t="s">
        <v>69</v>
      </c>
      <c r="H258" s="23" t="s">
        <v>8</v>
      </c>
      <c r="I258" s="37">
        <f t="shared" si="8"/>
        <v>2</v>
      </c>
      <c r="J258" s="37" t="str">
        <f t="shared" ref="J258:J321" si="9">TEXT(IF(I258= 1,D258+6, IF(I258= 2, D258+5, IF(I258= 3,D258+4, IF(I258= 4, D258+3, IF(I258= 5, D258+2, IF(I258= 6, D258+1, IF(I258=7,D258+0))))))),"mm/dd")</f>
        <v>02/18</v>
      </c>
    </row>
    <row r="259" spans="1:10" x14ac:dyDescent="0.25">
      <c r="A259" s="25">
        <v>132270001</v>
      </c>
      <c r="B259" s="26">
        <v>1121</v>
      </c>
      <c r="C259" s="24" t="s">
        <v>21</v>
      </c>
      <c r="D259" s="54">
        <v>43144</v>
      </c>
      <c r="E259" s="38" t="s">
        <v>10</v>
      </c>
      <c r="F259" s="28">
        <v>1</v>
      </c>
      <c r="G259" s="27" t="s">
        <v>69</v>
      </c>
      <c r="H259" s="23" t="s">
        <v>8</v>
      </c>
      <c r="I259" s="37">
        <f t="shared" si="8"/>
        <v>2</v>
      </c>
      <c r="J259" s="37" t="str">
        <f t="shared" si="9"/>
        <v>02/18</v>
      </c>
    </row>
    <row r="260" spans="1:10" x14ac:dyDescent="0.25">
      <c r="A260" s="25">
        <v>132270001</v>
      </c>
      <c r="B260" s="26">
        <v>1360</v>
      </c>
      <c r="C260" s="24" t="s">
        <v>24</v>
      </c>
      <c r="D260" s="54">
        <v>43144</v>
      </c>
      <c r="E260" s="38" t="s">
        <v>9</v>
      </c>
      <c r="F260" s="28">
        <v>8</v>
      </c>
      <c r="G260" s="27" t="s">
        <v>56</v>
      </c>
      <c r="H260" s="23">
        <v>4</v>
      </c>
      <c r="I260" s="37">
        <f t="shared" si="8"/>
        <v>2</v>
      </c>
      <c r="J260" s="37" t="str">
        <f t="shared" si="9"/>
        <v>02/18</v>
      </c>
    </row>
    <row r="261" spans="1:10" x14ac:dyDescent="0.25">
      <c r="A261" s="25">
        <v>132270001</v>
      </c>
      <c r="B261" s="26">
        <v>1360</v>
      </c>
      <c r="C261" s="24" t="s">
        <v>24</v>
      </c>
      <c r="D261" s="54">
        <v>43144</v>
      </c>
      <c r="E261" s="38" t="s">
        <v>10</v>
      </c>
      <c r="F261" s="28">
        <v>1</v>
      </c>
      <c r="G261" s="27" t="s">
        <v>56</v>
      </c>
      <c r="H261" s="23">
        <v>4</v>
      </c>
      <c r="I261" s="37">
        <f t="shared" si="8"/>
        <v>2</v>
      </c>
      <c r="J261" s="37" t="str">
        <f t="shared" si="9"/>
        <v>02/18</v>
      </c>
    </row>
    <row r="262" spans="1:10" x14ac:dyDescent="0.25">
      <c r="A262" s="25">
        <v>132270001</v>
      </c>
      <c r="B262" s="26">
        <v>1120</v>
      </c>
      <c r="C262" s="24" t="s">
        <v>21</v>
      </c>
      <c r="D262" s="54">
        <v>43144</v>
      </c>
      <c r="E262" s="38" t="s">
        <v>9</v>
      </c>
      <c r="F262" s="28">
        <v>8</v>
      </c>
      <c r="G262" s="27" t="s">
        <v>70</v>
      </c>
      <c r="H262" s="23" t="s">
        <v>8</v>
      </c>
      <c r="I262" s="37">
        <f t="shared" si="8"/>
        <v>2</v>
      </c>
      <c r="J262" s="37" t="str">
        <f t="shared" si="9"/>
        <v>02/18</v>
      </c>
    </row>
    <row r="263" spans="1:10" x14ac:dyDescent="0.25">
      <c r="A263" s="25">
        <v>132270001</v>
      </c>
      <c r="B263" s="26">
        <v>1120</v>
      </c>
      <c r="C263" s="24" t="s">
        <v>21</v>
      </c>
      <c r="D263" s="54">
        <v>43144</v>
      </c>
      <c r="E263" s="38" t="s">
        <v>10</v>
      </c>
      <c r="F263" s="28">
        <v>1.5</v>
      </c>
      <c r="G263" s="27" t="s">
        <v>70</v>
      </c>
      <c r="H263" s="23" t="s">
        <v>8</v>
      </c>
      <c r="I263" s="37">
        <f t="shared" si="8"/>
        <v>2</v>
      </c>
      <c r="J263" s="37" t="str">
        <f t="shared" si="9"/>
        <v>02/18</v>
      </c>
    </row>
    <row r="264" spans="1:10" x14ac:dyDescent="0.25">
      <c r="A264" s="25">
        <v>132270001</v>
      </c>
      <c r="B264" s="26">
        <v>1354</v>
      </c>
      <c r="C264" s="24" t="s">
        <v>21</v>
      </c>
      <c r="D264" s="54">
        <v>43144</v>
      </c>
      <c r="E264" s="38" t="s">
        <v>9</v>
      </c>
      <c r="F264" s="28">
        <v>8</v>
      </c>
      <c r="G264" s="27" t="s">
        <v>71</v>
      </c>
      <c r="H264" s="23" t="s">
        <v>8</v>
      </c>
      <c r="I264" s="37">
        <f t="shared" si="8"/>
        <v>2</v>
      </c>
      <c r="J264" s="37" t="str">
        <f t="shared" si="9"/>
        <v>02/18</v>
      </c>
    </row>
    <row r="265" spans="1:10" x14ac:dyDescent="0.25">
      <c r="A265" s="25">
        <v>132270001</v>
      </c>
      <c r="B265" s="26">
        <v>1354</v>
      </c>
      <c r="C265" s="24" t="s">
        <v>21</v>
      </c>
      <c r="D265" s="54">
        <v>43144</v>
      </c>
      <c r="E265" s="38" t="s">
        <v>10</v>
      </c>
      <c r="F265" s="28">
        <v>1</v>
      </c>
      <c r="G265" s="27" t="s">
        <v>71</v>
      </c>
      <c r="H265" s="23" t="s">
        <v>8</v>
      </c>
      <c r="I265" s="37">
        <f t="shared" si="8"/>
        <v>2</v>
      </c>
      <c r="J265" s="37" t="str">
        <f t="shared" si="9"/>
        <v>02/18</v>
      </c>
    </row>
    <row r="266" spans="1:10" x14ac:dyDescent="0.25">
      <c r="A266" s="25">
        <v>132270001</v>
      </c>
      <c r="B266" s="26">
        <v>1212</v>
      </c>
      <c r="C266" s="24" t="s">
        <v>20</v>
      </c>
      <c r="D266" s="54">
        <v>43144</v>
      </c>
      <c r="E266" s="38" t="s">
        <v>9</v>
      </c>
      <c r="F266" s="28">
        <v>8</v>
      </c>
      <c r="G266" s="27" t="s">
        <v>72</v>
      </c>
      <c r="H266" s="23" t="s">
        <v>8</v>
      </c>
      <c r="I266" s="37">
        <f t="shared" si="8"/>
        <v>2</v>
      </c>
      <c r="J266" s="37" t="str">
        <f t="shared" si="9"/>
        <v>02/18</v>
      </c>
    </row>
    <row r="267" spans="1:10" x14ac:dyDescent="0.25">
      <c r="A267" s="25">
        <v>132270001</v>
      </c>
      <c r="B267" s="26">
        <v>1212</v>
      </c>
      <c r="C267" s="24" t="s">
        <v>20</v>
      </c>
      <c r="D267" s="54">
        <v>43144</v>
      </c>
      <c r="E267" s="38" t="s">
        <v>10</v>
      </c>
      <c r="F267" s="28">
        <v>1</v>
      </c>
      <c r="G267" s="27" t="s">
        <v>72</v>
      </c>
      <c r="H267" s="23" t="s">
        <v>8</v>
      </c>
      <c r="I267" s="37">
        <f t="shared" si="8"/>
        <v>2</v>
      </c>
      <c r="J267" s="37" t="str">
        <f t="shared" si="9"/>
        <v>02/18</v>
      </c>
    </row>
    <row r="268" spans="1:10" x14ac:dyDescent="0.25">
      <c r="A268" s="25">
        <v>106950001</v>
      </c>
      <c r="B268" s="26">
        <v>1467</v>
      </c>
      <c r="C268" s="24" t="s">
        <v>21</v>
      </c>
      <c r="D268" s="54">
        <v>43145</v>
      </c>
      <c r="E268" s="38" t="s">
        <v>9</v>
      </c>
      <c r="F268" s="28">
        <v>8</v>
      </c>
      <c r="G268" s="27" t="s">
        <v>74</v>
      </c>
      <c r="H268" s="23" t="s">
        <v>8</v>
      </c>
      <c r="I268" s="37">
        <f t="shared" si="8"/>
        <v>3</v>
      </c>
      <c r="J268" s="37" t="str">
        <f t="shared" si="9"/>
        <v>02/18</v>
      </c>
    </row>
    <row r="269" spans="1:10" x14ac:dyDescent="0.25">
      <c r="A269" s="25">
        <v>106950001</v>
      </c>
      <c r="B269" s="26">
        <v>1467</v>
      </c>
      <c r="C269" s="24" t="s">
        <v>21</v>
      </c>
      <c r="D269" s="54">
        <v>43145</v>
      </c>
      <c r="E269" s="38" t="s">
        <v>10</v>
      </c>
      <c r="F269" s="28">
        <v>2</v>
      </c>
      <c r="G269" s="27" t="s">
        <v>74</v>
      </c>
      <c r="H269" s="23" t="s">
        <v>8</v>
      </c>
      <c r="I269" s="37">
        <f t="shared" si="8"/>
        <v>3</v>
      </c>
      <c r="J269" s="37" t="str">
        <f t="shared" si="9"/>
        <v>02/18</v>
      </c>
    </row>
    <row r="270" spans="1:10" x14ac:dyDescent="0.25">
      <c r="A270" s="25">
        <v>106950001</v>
      </c>
      <c r="B270" s="26">
        <v>1480</v>
      </c>
      <c r="C270" s="24" t="s">
        <v>21</v>
      </c>
      <c r="D270" s="54">
        <v>43145</v>
      </c>
      <c r="E270" s="38" t="s">
        <v>9</v>
      </c>
      <c r="F270" s="28">
        <v>8</v>
      </c>
      <c r="G270" s="27" t="s">
        <v>53</v>
      </c>
      <c r="H270" s="23" t="s">
        <v>8</v>
      </c>
      <c r="I270" s="37">
        <f t="shared" si="8"/>
        <v>3</v>
      </c>
      <c r="J270" s="37" t="str">
        <f t="shared" si="9"/>
        <v>02/18</v>
      </c>
    </row>
    <row r="271" spans="1:10" x14ac:dyDescent="0.25">
      <c r="A271" s="25">
        <v>106950001</v>
      </c>
      <c r="B271" s="26">
        <v>1480</v>
      </c>
      <c r="C271" s="24" t="s">
        <v>21</v>
      </c>
      <c r="D271" s="54">
        <v>43145</v>
      </c>
      <c r="E271" s="38" t="s">
        <v>10</v>
      </c>
      <c r="F271" s="28">
        <v>4</v>
      </c>
      <c r="G271" s="27" t="s">
        <v>53</v>
      </c>
      <c r="H271" s="23" t="s">
        <v>8</v>
      </c>
      <c r="I271" s="37">
        <f t="shared" si="8"/>
        <v>3</v>
      </c>
      <c r="J271" s="37" t="str">
        <f t="shared" si="9"/>
        <v>02/18</v>
      </c>
    </row>
    <row r="272" spans="1:10" x14ac:dyDescent="0.25">
      <c r="A272" s="25">
        <v>132170001</v>
      </c>
      <c r="B272" s="26">
        <v>1122</v>
      </c>
      <c r="C272" s="24" t="s">
        <v>22</v>
      </c>
      <c r="D272" s="54">
        <v>43145</v>
      </c>
      <c r="E272" s="38" t="s">
        <v>9</v>
      </c>
      <c r="F272" s="28">
        <v>8</v>
      </c>
      <c r="G272" s="27" t="s">
        <v>54</v>
      </c>
      <c r="H272" s="23">
        <v>2</v>
      </c>
      <c r="I272" s="37">
        <f t="shared" si="8"/>
        <v>3</v>
      </c>
      <c r="J272" s="37" t="str">
        <f t="shared" si="9"/>
        <v>02/18</v>
      </c>
    </row>
    <row r="273" spans="1:10" x14ac:dyDescent="0.25">
      <c r="A273" s="25">
        <v>132170001</v>
      </c>
      <c r="B273" s="26">
        <v>1209</v>
      </c>
      <c r="C273" s="24" t="s">
        <v>19</v>
      </c>
      <c r="D273" s="54">
        <v>43145</v>
      </c>
      <c r="E273" s="38" t="s">
        <v>9</v>
      </c>
      <c r="F273" s="28">
        <v>8</v>
      </c>
      <c r="G273" s="27" t="s">
        <v>55</v>
      </c>
      <c r="H273" s="23" t="s">
        <v>8</v>
      </c>
      <c r="I273" s="37">
        <f t="shared" si="8"/>
        <v>3</v>
      </c>
      <c r="J273" s="37" t="str">
        <f t="shared" si="9"/>
        <v>02/18</v>
      </c>
    </row>
    <row r="274" spans="1:10" x14ac:dyDescent="0.25">
      <c r="A274" s="25">
        <v>132170001</v>
      </c>
      <c r="B274" s="26">
        <v>1035</v>
      </c>
      <c r="C274" s="24" t="s">
        <v>23</v>
      </c>
      <c r="D274" s="54">
        <v>43145</v>
      </c>
      <c r="E274" s="38" t="s">
        <v>9</v>
      </c>
      <c r="F274" s="28">
        <v>8</v>
      </c>
      <c r="G274" s="27" t="s">
        <v>59</v>
      </c>
      <c r="H274" s="23" t="s">
        <v>8</v>
      </c>
      <c r="I274" s="37">
        <f t="shared" si="8"/>
        <v>3</v>
      </c>
      <c r="J274" s="37" t="str">
        <f t="shared" si="9"/>
        <v>02/18</v>
      </c>
    </row>
    <row r="275" spans="1:10" x14ac:dyDescent="0.25">
      <c r="A275" s="25">
        <v>132170001</v>
      </c>
      <c r="B275" s="26">
        <v>996</v>
      </c>
      <c r="C275" s="24" t="s">
        <v>21</v>
      </c>
      <c r="D275" s="54">
        <v>43145</v>
      </c>
      <c r="E275" s="38" t="s">
        <v>9</v>
      </c>
      <c r="F275" s="28">
        <v>8</v>
      </c>
      <c r="G275" s="27" t="s">
        <v>58</v>
      </c>
      <c r="H275" s="23" t="s">
        <v>8</v>
      </c>
      <c r="I275" s="37">
        <f t="shared" si="8"/>
        <v>3</v>
      </c>
      <c r="J275" s="37" t="str">
        <f t="shared" si="9"/>
        <v>02/18</v>
      </c>
    </row>
    <row r="276" spans="1:10" x14ac:dyDescent="0.25">
      <c r="A276" s="25">
        <v>132170001</v>
      </c>
      <c r="B276" s="26">
        <v>1309</v>
      </c>
      <c r="C276" s="24" t="s">
        <v>20</v>
      </c>
      <c r="D276" s="54">
        <v>43145</v>
      </c>
      <c r="E276" s="38" t="s">
        <v>9</v>
      </c>
      <c r="F276" s="28">
        <v>8</v>
      </c>
      <c r="G276" s="27" t="s">
        <v>60</v>
      </c>
      <c r="H276" s="23" t="s">
        <v>8</v>
      </c>
      <c r="I276" s="37">
        <f t="shared" si="8"/>
        <v>3</v>
      </c>
      <c r="J276" s="37" t="str">
        <f t="shared" si="9"/>
        <v>02/18</v>
      </c>
    </row>
    <row r="277" spans="1:10" x14ac:dyDescent="0.25">
      <c r="A277" s="25">
        <v>132270001</v>
      </c>
      <c r="B277" s="26">
        <v>1025</v>
      </c>
      <c r="C277" s="24" t="s">
        <v>19</v>
      </c>
      <c r="D277" s="54">
        <v>43145</v>
      </c>
      <c r="E277" s="38" t="s">
        <v>9</v>
      </c>
      <c r="F277" s="28">
        <v>8</v>
      </c>
      <c r="G277" s="27" t="s">
        <v>67</v>
      </c>
      <c r="H277" s="23" t="s">
        <v>8</v>
      </c>
      <c r="I277" s="37">
        <f t="shared" si="8"/>
        <v>3</v>
      </c>
      <c r="J277" s="37" t="str">
        <f t="shared" si="9"/>
        <v>02/18</v>
      </c>
    </row>
    <row r="278" spans="1:10" x14ac:dyDescent="0.25">
      <c r="A278" s="25">
        <v>132270001</v>
      </c>
      <c r="B278" s="26">
        <v>1025</v>
      </c>
      <c r="C278" s="24" t="s">
        <v>19</v>
      </c>
      <c r="D278" s="54">
        <v>43145</v>
      </c>
      <c r="E278" s="38" t="s">
        <v>10</v>
      </c>
      <c r="F278" s="28">
        <v>1.5</v>
      </c>
      <c r="G278" s="27" t="s">
        <v>67</v>
      </c>
      <c r="H278" s="23" t="s">
        <v>8</v>
      </c>
      <c r="I278" s="37">
        <f t="shared" si="8"/>
        <v>3</v>
      </c>
      <c r="J278" s="37" t="str">
        <f t="shared" si="9"/>
        <v>02/18</v>
      </c>
    </row>
    <row r="279" spans="1:10" x14ac:dyDescent="0.25">
      <c r="A279" s="25">
        <v>132270001</v>
      </c>
      <c r="B279" s="26">
        <v>1027</v>
      </c>
      <c r="C279" s="24" t="s">
        <v>22</v>
      </c>
      <c r="D279" s="54">
        <v>43145</v>
      </c>
      <c r="E279" s="38" t="s">
        <v>9</v>
      </c>
      <c r="F279" s="28">
        <v>8</v>
      </c>
      <c r="G279" s="27" t="s">
        <v>68</v>
      </c>
      <c r="H279" s="23">
        <v>2</v>
      </c>
      <c r="I279" s="37">
        <f t="shared" si="8"/>
        <v>3</v>
      </c>
      <c r="J279" s="37" t="str">
        <f t="shared" si="9"/>
        <v>02/18</v>
      </c>
    </row>
    <row r="280" spans="1:10" x14ac:dyDescent="0.25">
      <c r="A280" s="25">
        <v>132270001</v>
      </c>
      <c r="B280" s="26">
        <v>1027</v>
      </c>
      <c r="C280" s="24" t="s">
        <v>22</v>
      </c>
      <c r="D280" s="54">
        <v>43145</v>
      </c>
      <c r="E280" s="38" t="s">
        <v>10</v>
      </c>
      <c r="F280" s="28">
        <v>1</v>
      </c>
      <c r="G280" s="27" t="s">
        <v>68</v>
      </c>
      <c r="H280" s="29">
        <v>2</v>
      </c>
      <c r="I280" s="37">
        <f t="shared" si="8"/>
        <v>3</v>
      </c>
      <c r="J280" s="37" t="str">
        <f t="shared" si="9"/>
        <v>02/18</v>
      </c>
    </row>
    <row r="281" spans="1:10" x14ac:dyDescent="0.25">
      <c r="A281" s="25">
        <v>132270001</v>
      </c>
      <c r="B281" s="26">
        <v>1121</v>
      </c>
      <c r="C281" s="24" t="s">
        <v>21</v>
      </c>
      <c r="D281" s="54">
        <v>43145</v>
      </c>
      <c r="E281" s="38" t="s">
        <v>9</v>
      </c>
      <c r="F281" s="28">
        <v>8</v>
      </c>
      <c r="G281" s="27" t="s">
        <v>69</v>
      </c>
      <c r="H281" s="23" t="s">
        <v>8</v>
      </c>
      <c r="I281" s="37">
        <f t="shared" si="8"/>
        <v>3</v>
      </c>
      <c r="J281" s="37" t="str">
        <f t="shared" si="9"/>
        <v>02/18</v>
      </c>
    </row>
    <row r="282" spans="1:10" x14ac:dyDescent="0.25">
      <c r="A282" s="25">
        <v>132270001</v>
      </c>
      <c r="B282" s="26">
        <v>1121</v>
      </c>
      <c r="C282" s="24" t="s">
        <v>21</v>
      </c>
      <c r="D282" s="54">
        <v>43145</v>
      </c>
      <c r="E282" s="38" t="s">
        <v>10</v>
      </c>
      <c r="F282" s="28">
        <v>0.5</v>
      </c>
      <c r="G282" s="27" t="s">
        <v>69</v>
      </c>
      <c r="H282" s="23" t="s">
        <v>8</v>
      </c>
      <c r="I282" s="37">
        <f t="shared" si="8"/>
        <v>3</v>
      </c>
      <c r="J282" s="37" t="str">
        <f t="shared" si="9"/>
        <v>02/18</v>
      </c>
    </row>
    <row r="283" spans="1:10" x14ac:dyDescent="0.25">
      <c r="A283" s="25">
        <v>132270001</v>
      </c>
      <c r="B283" s="26">
        <v>1360</v>
      </c>
      <c r="C283" s="24" t="s">
        <v>24</v>
      </c>
      <c r="D283" s="54">
        <v>43145</v>
      </c>
      <c r="E283" s="38" t="s">
        <v>9</v>
      </c>
      <c r="F283" s="28">
        <v>8</v>
      </c>
      <c r="G283" s="27" t="s">
        <v>56</v>
      </c>
      <c r="H283" s="23">
        <v>4</v>
      </c>
      <c r="I283" s="37">
        <f t="shared" si="8"/>
        <v>3</v>
      </c>
      <c r="J283" s="37" t="str">
        <f t="shared" si="9"/>
        <v>02/18</v>
      </c>
    </row>
    <row r="284" spans="1:10" x14ac:dyDescent="0.25">
      <c r="A284" s="25">
        <v>132270001</v>
      </c>
      <c r="B284" s="26">
        <v>1360</v>
      </c>
      <c r="C284" s="24" t="s">
        <v>24</v>
      </c>
      <c r="D284" s="54">
        <v>43145</v>
      </c>
      <c r="E284" s="38" t="s">
        <v>10</v>
      </c>
      <c r="F284" s="28">
        <v>0.5</v>
      </c>
      <c r="G284" s="27" t="s">
        <v>56</v>
      </c>
      <c r="H284" s="23">
        <v>4</v>
      </c>
      <c r="I284" s="37">
        <f t="shared" si="8"/>
        <v>3</v>
      </c>
      <c r="J284" s="37" t="str">
        <f t="shared" si="9"/>
        <v>02/18</v>
      </c>
    </row>
    <row r="285" spans="1:10" x14ac:dyDescent="0.25">
      <c r="A285" s="25">
        <v>132270001</v>
      </c>
      <c r="B285" s="26">
        <v>1120</v>
      </c>
      <c r="C285" s="24" t="s">
        <v>21</v>
      </c>
      <c r="D285" s="54">
        <v>43145</v>
      </c>
      <c r="E285" s="38" t="s">
        <v>9</v>
      </c>
      <c r="F285" s="28">
        <v>8</v>
      </c>
      <c r="G285" s="27" t="s">
        <v>70</v>
      </c>
      <c r="H285" s="23" t="s">
        <v>8</v>
      </c>
      <c r="I285" s="37">
        <f t="shared" si="8"/>
        <v>3</v>
      </c>
      <c r="J285" s="37" t="str">
        <f t="shared" si="9"/>
        <v>02/18</v>
      </c>
    </row>
    <row r="286" spans="1:10" x14ac:dyDescent="0.25">
      <c r="A286" s="25">
        <v>132270001</v>
      </c>
      <c r="B286" s="26">
        <v>1120</v>
      </c>
      <c r="C286" s="24" t="s">
        <v>21</v>
      </c>
      <c r="D286" s="54">
        <v>43145</v>
      </c>
      <c r="E286" s="38" t="s">
        <v>10</v>
      </c>
      <c r="F286" s="28">
        <v>1</v>
      </c>
      <c r="G286" s="27" t="s">
        <v>70</v>
      </c>
      <c r="H286" s="23" t="s">
        <v>8</v>
      </c>
      <c r="I286" s="37">
        <f t="shared" si="8"/>
        <v>3</v>
      </c>
      <c r="J286" s="37" t="str">
        <f t="shared" si="9"/>
        <v>02/18</v>
      </c>
    </row>
    <row r="287" spans="1:10" x14ac:dyDescent="0.25">
      <c r="A287" s="25">
        <v>132270001</v>
      </c>
      <c r="B287" s="26">
        <v>1354</v>
      </c>
      <c r="C287" s="24" t="s">
        <v>21</v>
      </c>
      <c r="D287" s="54">
        <v>43145</v>
      </c>
      <c r="E287" s="38" t="s">
        <v>9</v>
      </c>
      <c r="F287" s="28">
        <v>8</v>
      </c>
      <c r="G287" s="27" t="s">
        <v>71</v>
      </c>
      <c r="H287" s="23" t="s">
        <v>8</v>
      </c>
      <c r="I287" s="37">
        <f t="shared" si="8"/>
        <v>3</v>
      </c>
      <c r="J287" s="37" t="str">
        <f t="shared" si="9"/>
        <v>02/18</v>
      </c>
    </row>
    <row r="288" spans="1:10" x14ac:dyDescent="0.25">
      <c r="A288" s="25">
        <v>132270001</v>
      </c>
      <c r="B288" s="26">
        <v>1354</v>
      </c>
      <c r="C288" s="24" t="s">
        <v>21</v>
      </c>
      <c r="D288" s="54">
        <v>43145</v>
      </c>
      <c r="E288" s="38" t="s">
        <v>10</v>
      </c>
      <c r="F288" s="28">
        <v>0.5</v>
      </c>
      <c r="G288" s="27" t="s">
        <v>71</v>
      </c>
      <c r="H288" s="23" t="s">
        <v>8</v>
      </c>
      <c r="I288" s="37">
        <f t="shared" si="8"/>
        <v>3</v>
      </c>
      <c r="J288" s="37" t="str">
        <f t="shared" si="9"/>
        <v>02/18</v>
      </c>
    </row>
    <row r="289" spans="1:10" x14ac:dyDescent="0.25">
      <c r="A289" s="25">
        <v>132270001</v>
      </c>
      <c r="B289" s="26">
        <v>1212</v>
      </c>
      <c r="C289" s="24" t="s">
        <v>20</v>
      </c>
      <c r="D289" s="54">
        <v>43145</v>
      </c>
      <c r="E289" s="38" t="s">
        <v>9</v>
      </c>
      <c r="F289" s="28">
        <v>8</v>
      </c>
      <c r="G289" s="27" t="s">
        <v>72</v>
      </c>
      <c r="H289" s="23" t="s">
        <v>8</v>
      </c>
      <c r="I289" s="37">
        <f t="shared" si="8"/>
        <v>3</v>
      </c>
      <c r="J289" s="37" t="str">
        <f t="shared" si="9"/>
        <v>02/18</v>
      </c>
    </row>
    <row r="290" spans="1:10" x14ac:dyDescent="0.25">
      <c r="A290" s="25">
        <v>132270001</v>
      </c>
      <c r="B290" s="26">
        <v>1212</v>
      </c>
      <c r="C290" s="24" t="s">
        <v>20</v>
      </c>
      <c r="D290" s="54">
        <v>43145</v>
      </c>
      <c r="E290" s="38" t="s">
        <v>10</v>
      </c>
      <c r="F290" s="28">
        <v>0.5</v>
      </c>
      <c r="G290" s="27" t="s">
        <v>72</v>
      </c>
      <c r="H290" s="23" t="s">
        <v>8</v>
      </c>
      <c r="I290" s="37">
        <f t="shared" si="8"/>
        <v>3</v>
      </c>
      <c r="J290" s="37" t="str">
        <f t="shared" si="9"/>
        <v>02/18</v>
      </c>
    </row>
    <row r="291" spans="1:10" x14ac:dyDescent="0.25">
      <c r="A291" s="25">
        <v>132270001</v>
      </c>
      <c r="B291" s="26">
        <v>1204</v>
      </c>
      <c r="C291" s="24" t="s">
        <v>20</v>
      </c>
      <c r="D291" s="54">
        <v>43145</v>
      </c>
      <c r="E291" s="38" t="s">
        <v>9</v>
      </c>
      <c r="F291" s="28">
        <v>8</v>
      </c>
      <c r="G291" s="27" t="s">
        <v>75</v>
      </c>
      <c r="H291" s="23" t="s">
        <v>8</v>
      </c>
      <c r="I291" s="37">
        <f t="shared" si="8"/>
        <v>3</v>
      </c>
      <c r="J291" s="37" t="str">
        <f t="shared" si="9"/>
        <v>02/18</v>
      </c>
    </row>
    <row r="292" spans="1:10" x14ac:dyDescent="0.25">
      <c r="A292" s="25">
        <v>132270001</v>
      </c>
      <c r="B292" s="26">
        <v>1204</v>
      </c>
      <c r="C292" s="24" t="s">
        <v>20</v>
      </c>
      <c r="D292" s="54">
        <v>43145</v>
      </c>
      <c r="E292" s="38" t="s">
        <v>10</v>
      </c>
      <c r="F292" s="28">
        <v>0.5</v>
      </c>
      <c r="G292" s="27" t="s">
        <v>75</v>
      </c>
      <c r="H292" s="23" t="s">
        <v>8</v>
      </c>
      <c r="I292" s="37">
        <f t="shared" si="8"/>
        <v>3</v>
      </c>
      <c r="J292" s="37" t="str">
        <f t="shared" si="9"/>
        <v>02/18</v>
      </c>
    </row>
    <row r="293" spans="1:10" x14ac:dyDescent="0.25">
      <c r="A293" s="25">
        <v>132490001</v>
      </c>
      <c r="B293" s="26">
        <v>1007</v>
      </c>
      <c r="C293" s="24" t="s">
        <v>19</v>
      </c>
      <c r="D293" s="54">
        <v>43145</v>
      </c>
      <c r="E293" s="38" t="s">
        <v>9</v>
      </c>
      <c r="F293" s="28">
        <v>1</v>
      </c>
      <c r="G293" s="27" t="s">
        <v>61</v>
      </c>
      <c r="H293" s="23" t="s">
        <v>8</v>
      </c>
      <c r="I293" s="37">
        <f t="shared" si="8"/>
        <v>3</v>
      </c>
      <c r="J293" s="37" t="str">
        <f t="shared" si="9"/>
        <v>02/18</v>
      </c>
    </row>
    <row r="294" spans="1:10" x14ac:dyDescent="0.25">
      <c r="A294" s="25">
        <v>132940001</v>
      </c>
      <c r="B294" s="26">
        <v>1007</v>
      </c>
      <c r="C294" s="24" t="s">
        <v>19</v>
      </c>
      <c r="D294" s="54">
        <v>43145</v>
      </c>
      <c r="E294" s="38" t="s">
        <v>9</v>
      </c>
      <c r="F294" s="28">
        <v>2</v>
      </c>
      <c r="G294" s="27" t="s">
        <v>61</v>
      </c>
      <c r="H294" s="23" t="s">
        <v>8</v>
      </c>
      <c r="I294" s="37">
        <f t="shared" si="8"/>
        <v>3</v>
      </c>
      <c r="J294" s="37" t="str">
        <f t="shared" si="9"/>
        <v>02/18</v>
      </c>
    </row>
    <row r="295" spans="1:10" x14ac:dyDescent="0.25">
      <c r="A295" s="25">
        <v>132170001</v>
      </c>
      <c r="B295" s="26">
        <v>1007</v>
      </c>
      <c r="C295" s="24" t="s">
        <v>19</v>
      </c>
      <c r="D295" s="54">
        <v>43145</v>
      </c>
      <c r="E295" s="38" t="s">
        <v>9</v>
      </c>
      <c r="F295" s="28">
        <v>4</v>
      </c>
      <c r="G295" s="27" t="s">
        <v>61</v>
      </c>
      <c r="H295" s="23" t="s">
        <v>8</v>
      </c>
      <c r="I295" s="37">
        <f t="shared" si="8"/>
        <v>3</v>
      </c>
      <c r="J295" s="37" t="str">
        <f t="shared" si="9"/>
        <v>02/18</v>
      </c>
    </row>
    <row r="296" spans="1:10" x14ac:dyDescent="0.25">
      <c r="A296" s="25">
        <v>201430001</v>
      </c>
      <c r="B296" s="26">
        <v>1007</v>
      </c>
      <c r="C296" s="24" t="s">
        <v>19</v>
      </c>
      <c r="D296" s="54">
        <v>43145</v>
      </c>
      <c r="E296" s="38" t="s">
        <v>9</v>
      </c>
      <c r="F296" s="28">
        <v>1</v>
      </c>
      <c r="G296" s="27" t="s">
        <v>61</v>
      </c>
      <c r="H296" s="23" t="s">
        <v>8</v>
      </c>
      <c r="I296" s="37">
        <f t="shared" si="8"/>
        <v>3</v>
      </c>
      <c r="J296" s="37" t="str">
        <f t="shared" si="9"/>
        <v>02/18</v>
      </c>
    </row>
    <row r="297" spans="1:10" x14ac:dyDescent="0.25">
      <c r="A297" s="25">
        <v>132490001</v>
      </c>
      <c r="B297" s="26">
        <v>1047</v>
      </c>
      <c r="C297" s="24" t="s">
        <v>21</v>
      </c>
      <c r="D297" s="54">
        <v>43145</v>
      </c>
      <c r="E297" s="38" t="s">
        <v>9</v>
      </c>
      <c r="F297" s="28">
        <v>6</v>
      </c>
      <c r="G297" s="27" t="s">
        <v>63</v>
      </c>
      <c r="H297" s="23" t="s">
        <v>8</v>
      </c>
      <c r="I297" s="37">
        <f t="shared" si="8"/>
        <v>3</v>
      </c>
      <c r="J297" s="37" t="str">
        <f t="shared" si="9"/>
        <v>02/18</v>
      </c>
    </row>
    <row r="298" spans="1:10" x14ac:dyDescent="0.25">
      <c r="A298" s="25">
        <v>132940001</v>
      </c>
      <c r="B298" s="26">
        <v>1047</v>
      </c>
      <c r="C298" s="24" t="s">
        <v>21</v>
      </c>
      <c r="D298" s="54">
        <v>43145</v>
      </c>
      <c r="E298" s="38" t="s">
        <v>9</v>
      </c>
      <c r="F298" s="28">
        <v>2</v>
      </c>
      <c r="G298" s="27" t="s">
        <v>63</v>
      </c>
      <c r="H298" s="29" t="s">
        <v>8</v>
      </c>
      <c r="I298" s="37">
        <f t="shared" si="8"/>
        <v>3</v>
      </c>
      <c r="J298" s="37" t="str">
        <f t="shared" si="9"/>
        <v>02/18</v>
      </c>
    </row>
    <row r="299" spans="1:10" x14ac:dyDescent="0.25">
      <c r="A299" s="25">
        <v>132490001</v>
      </c>
      <c r="B299" s="26">
        <v>1032</v>
      </c>
      <c r="C299" s="24" t="s">
        <v>21</v>
      </c>
      <c r="D299" s="54">
        <v>43145</v>
      </c>
      <c r="E299" s="38" t="s">
        <v>9</v>
      </c>
      <c r="F299" s="28">
        <v>4</v>
      </c>
      <c r="G299" s="27" t="s">
        <v>62</v>
      </c>
      <c r="H299" s="29" t="s">
        <v>8</v>
      </c>
      <c r="I299" s="37">
        <f t="shared" si="8"/>
        <v>3</v>
      </c>
      <c r="J299" s="37" t="str">
        <f t="shared" si="9"/>
        <v>02/18</v>
      </c>
    </row>
    <row r="300" spans="1:10" x14ac:dyDescent="0.25">
      <c r="A300" s="25">
        <v>132170001</v>
      </c>
      <c r="B300" s="26">
        <v>1032</v>
      </c>
      <c r="C300" s="24" t="s">
        <v>21</v>
      </c>
      <c r="D300" s="54">
        <v>43145</v>
      </c>
      <c r="E300" s="38" t="s">
        <v>9</v>
      </c>
      <c r="F300" s="28">
        <v>4</v>
      </c>
      <c r="G300" s="27" t="s">
        <v>62</v>
      </c>
      <c r="H300" s="29" t="s">
        <v>8</v>
      </c>
      <c r="I300" s="37">
        <f t="shared" si="8"/>
        <v>3</v>
      </c>
      <c r="J300" s="37" t="str">
        <f t="shared" si="9"/>
        <v>02/18</v>
      </c>
    </row>
    <row r="301" spans="1:10" x14ac:dyDescent="0.25">
      <c r="A301" s="25">
        <v>132170001</v>
      </c>
      <c r="B301" s="26">
        <v>1253</v>
      </c>
      <c r="C301" s="24" t="s">
        <v>21</v>
      </c>
      <c r="D301" s="54">
        <v>43145</v>
      </c>
      <c r="E301" s="38" t="s">
        <v>9</v>
      </c>
      <c r="F301" s="28">
        <v>8</v>
      </c>
      <c r="G301" s="27" t="s">
        <v>65</v>
      </c>
      <c r="H301" s="29" t="s">
        <v>8</v>
      </c>
      <c r="I301" s="37">
        <f t="shared" si="8"/>
        <v>3</v>
      </c>
      <c r="J301" s="37" t="str">
        <f t="shared" si="9"/>
        <v>02/18</v>
      </c>
    </row>
    <row r="302" spans="1:10" x14ac:dyDescent="0.25">
      <c r="A302" s="25">
        <v>132170001</v>
      </c>
      <c r="B302" s="26">
        <v>1437</v>
      </c>
      <c r="C302" s="24" t="s">
        <v>21</v>
      </c>
      <c r="D302" s="54">
        <v>43145</v>
      </c>
      <c r="E302" s="38" t="s">
        <v>9</v>
      </c>
      <c r="F302" s="28">
        <v>8</v>
      </c>
      <c r="G302" s="27" t="s">
        <v>64</v>
      </c>
      <c r="H302" s="29" t="s">
        <v>8</v>
      </c>
      <c r="I302" s="37">
        <f t="shared" si="8"/>
        <v>3</v>
      </c>
      <c r="J302" s="37" t="str">
        <f t="shared" si="9"/>
        <v>02/18</v>
      </c>
    </row>
    <row r="303" spans="1:10" x14ac:dyDescent="0.25">
      <c r="A303" s="25">
        <v>133980001</v>
      </c>
      <c r="B303" s="26">
        <v>1082</v>
      </c>
      <c r="C303" s="24" t="s">
        <v>19</v>
      </c>
      <c r="D303" s="54">
        <v>43145</v>
      </c>
      <c r="E303" s="38" t="s">
        <v>9</v>
      </c>
      <c r="F303" s="28">
        <v>8</v>
      </c>
      <c r="G303" s="27" t="s">
        <v>57</v>
      </c>
      <c r="H303" s="29" t="s">
        <v>8</v>
      </c>
      <c r="I303" s="37">
        <f t="shared" si="8"/>
        <v>3</v>
      </c>
      <c r="J303" s="37" t="str">
        <f t="shared" si="9"/>
        <v>02/18</v>
      </c>
    </row>
    <row r="304" spans="1:10" x14ac:dyDescent="0.25">
      <c r="A304" s="25">
        <v>130340001</v>
      </c>
      <c r="B304" s="26">
        <v>1247</v>
      </c>
      <c r="C304" s="24" t="s">
        <v>20</v>
      </c>
      <c r="D304" s="54">
        <v>43145</v>
      </c>
      <c r="E304" s="38" t="s">
        <v>9</v>
      </c>
      <c r="F304" s="28">
        <v>4</v>
      </c>
      <c r="G304" s="27" t="s">
        <v>66</v>
      </c>
      <c r="H304" s="29" t="s">
        <v>8</v>
      </c>
      <c r="I304" s="37">
        <f t="shared" si="8"/>
        <v>3</v>
      </c>
      <c r="J304" s="37" t="str">
        <f t="shared" si="9"/>
        <v>02/18</v>
      </c>
    </row>
    <row r="305" spans="1:10" x14ac:dyDescent="0.25">
      <c r="A305" s="25">
        <v>201430001</v>
      </c>
      <c r="B305" s="26">
        <v>1247</v>
      </c>
      <c r="C305" s="24" t="s">
        <v>20</v>
      </c>
      <c r="D305" s="54">
        <v>43145</v>
      </c>
      <c r="E305" s="38" t="s">
        <v>9</v>
      </c>
      <c r="F305" s="28">
        <v>4</v>
      </c>
      <c r="G305" s="27" t="s">
        <v>66</v>
      </c>
      <c r="H305" s="29" t="s">
        <v>8</v>
      </c>
      <c r="I305" s="37">
        <f t="shared" si="8"/>
        <v>3</v>
      </c>
      <c r="J305" s="37" t="str">
        <f t="shared" si="9"/>
        <v>02/18</v>
      </c>
    </row>
    <row r="306" spans="1:10" x14ac:dyDescent="0.25">
      <c r="A306" s="25">
        <v>132170001</v>
      </c>
      <c r="B306" s="26">
        <v>1122</v>
      </c>
      <c r="C306" s="24" t="s">
        <v>22</v>
      </c>
      <c r="D306" s="54">
        <v>43146</v>
      </c>
      <c r="E306" s="38" t="s">
        <v>9</v>
      </c>
      <c r="F306" s="28">
        <v>8</v>
      </c>
      <c r="G306" s="27" t="s">
        <v>54</v>
      </c>
      <c r="H306" s="29">
        <v>2</v>
      </c>
      <c r="I306" s="37">
        <f t="shared" si="8"/>
        <v>4</v>
      </c>
      <c r="J306" s="37" t="str">
        <f t="shared" si="9"/>
        <v>02/18</v>
      </c>
    </row>
    <row r="307" spans="1:10" x14ac:dyDescent="0.25">
      <c r="A307" s="25">
        <v>132170001</v>
      </c>
      <c r="B307" s="26">
        <v>1209</v>
      </c>
      <c r="C307" s="24" t="s">
        <v>19</v>
      </c>
      <c r="D307" s="54">
        <v>43146</v>
      </c>
      <c r="E307" s="38" t="s">
        <v>9</v>
      </c>
      <c r="F307" s="28">
        <v>8</v>
      </c>
      <c r="G307" s="27" t="s">
        <v>55</v>
      </c>
      <c r="H307" s="29" t="s">
        <v>8</v>
      </c>
      <c r="I307" s="37">
        <f t="shared" si="8"/>
        <v>4</v>
      </c>
      <c r="J307" s="37" t="str">
        <f t="shared" si="9"/>
        <v>02/18</v>
      </c>
    </row>
    <row r="308" spans="1:10" x14ac:dyDescent="0.25">
      <c r="A308" s="25">
        <v>132170001</v>
      </c>
      <c r="B308" s="26">
        <v>1035</v>
      </c>
      <c r="C308" s="24" t="s">
        <v>23</v>
      </c>
      <c r="D308" s="54">
        <v>43146</v>
      </c>
      <c r="E308" s="38" t="s">
        <v>9</v>
      </c>
      <c r="F308" s="28">
        <v>8</v>
      </c>
      <c r="G308" s="27" t="s">
        <v>59</v>
      </c>
      <c r="H308" s="29" t="s">
        <v>8</v>
      </c>
      <c r="I308" s="37">
        <f t="shared" ref="I308:I368" si="10">WEEKDAY(D308,2)</f>
        <v>4</v>
      </c>
      <c r="J308" s="37" t="str">
        <f t="shared" si="9"/>
        <v>02/18</v>
      </c>
    </row>
    <row r="309" spans="1:10" x14ac:dyDescent="0.25">
      <c r="A309" s="25">
        <v>132170001</v>
      </c>
      <c r="B309" s="26">
        <v>996</v>
      </c>
      <c r="C309" s="24" t="s">
        <v>21</v>
      </c>
      <c r="D309" s="54">
        <v>43146</v>
      </c>
      <c r="E309" s="38" t="s">
        <v>9</v>
      </c>
      <c r="F309" s="28">
        <v>8</v>
      </c>
      <c r="G309" s="27" t="s">
        <v>58</v>
      </c>
      <c r="H309" s="29" t="s">
        <v>8</v>
      </c>
      <c r="I309" s="37">
        <f t="shared" si="10"/>
        <v>4</v>
      </c>
      <c r="J309" s="37" t="str">
        <f t="shared" si="9"/>
        <v>02/18</v>
      </c>
    </row>
    <row r="310" spans="1:10" x14ac:dyDescent="0.25">
      <c r="A310" s="25">
        <v>132170001</v>
      </c>
      <c r="B310" s="26">
        <v>1309</v>
      </c>
      <c r="C310" s="24" t="s">
        <v>20</v>
      </c>
      <c r="D310" s="54">
        <v>43146</v>
      </c>
      <c r="E310" s="38" t="s">
        <v>9</v>
      </c>
      <c r="F310" s="28">
        <v>8</v>
      </c>
      <c r="G310" s="27" t="s">
        <v>60</v>
      </c>
      <c r="H310" s="29" t="s">
        <v>8</v>
      </c>
      <c r="I310" s="37">
        <f t="shared" si="10"/>
        <v>4</v>
      </c>
      <c r="J310" s="37" t="str">
        <f t="shared" si="9"/>
        <v>02/18</v>
      </c>
    </row>
    <row r="311" spans="1:10" x14ac:dyDescent="0.25">
      <c r="A311" s="25">
        <v>106950001</v>
      </c>
      <c r="B311" s="26">
        <v>1480</v>
      </c>
      <c r="C311" s="24" t="s">
        <v>21</v>
      </c>
      <c r="D311" s="54">
        <v>43146</v>
      </c>
      <c r="E311" s="38" t="s">
        <v>9</v>
      </c>
      <c r="F311" s="28">
        <v>8</v>
      </c>
      <c r="G311" s="27" t="s">
        <v>53</v>
      </c>
      <c r="H311" s="29" t="s">
        <v>8</v>
      </c>
      <c r="I311" s="37">
        <f t="shared" si="10"/>
        <v>4</v>
      </c>
      <c r="J311" s="37" t="str">
        <f t="shared" si="9"/>
        <v>02/18</v>
      </c>
    </row>
    <row r="312" spans="1:10" x14ac:dyDescent="0.25">
      <c r="A312" s="25">
        <v>106950001</v>
      </c>
      <c r="B312" s="26">
        <v>1480</v>
      </c>
      <c r="C312" s="24" t="s">
        <v>21</v>
      </c>
      <c r="D312" s="54">
        <v>43146</v>
      </c>
      <c r="E312" s="38" t="s">
        <v>10</v>
      </c>
      <c r="F312" s="28">
        <v>4</v>
      </c>
      <c r="G312" s="27" t="s">
        <v>53</v>
      </c>
      <c r="H312" s="29" t="s">
        <v>8</v>
      </c>
      <c r="I312" s="37">
        <f t="shared" si="10"/>
        <v>4</v>
      </c>
      <c r="J312" s="37" t="str">
        <f t="shared" si="9"/>
        <v>02/18</v>
      </c>
    </row>
    <row r="313" spans="1:10" x14ac:dyDescent="0.25">
      <c r="A313" s="25">
        <v>132940001</v>
      </c>
      <c r="B313" s="26">
        <v>1007</v>
      </c>
      <c r="C313" s="24" t="s">
        <v>19</v>
      </c>
      <c r="D313" s="54">
        <v>43146</v>
      </c>
      <c r="E313" s="38" t="s">
        <v>9</v>
      </c>
      <c r="F313" s="28">
        <v>1</v>
      </c>
      <c r="G313" s="27" t="s">
        <v>61</v>
      </c>
      <c r="H313" s="29" t="s">
        <v>8</v>
      </c>
      <c r="I313" s="37">
        <f t="shared" si="10"/>
        <v>4</v>
      </c>
      <c r="J313" s="37" t="str">
        <f t="shared" si="9"/>
        <v>02/18</v>
      </c>
    </row>
    <row r="314" spans="1:10" x14ac:dyDescent="0.25">
      <c r="A314" s="25">
        <v>133980001</v>
      </c>
      <c r="B314" s="26">
        <v>1007</v>
      </c>
      <c r="C314" s="24" t="s">
        <v>19</v>
      </c>
      <c r="D314" s="54">
        <v>43146</v>
      </c>
      <c r="E314" s="38" t="s">
        <v>9</v>
      </c>
      <c r="F314" s="28">
        <v>2</v>
      </c>
      <c r="G314" s="27" t="s">
        <v>61</v>
      </c>
      <c r="H314" s="29" t="s">
        <v>8</v>
      </c>
      <c r="I314" s="37">
        <f t="shared" si="10"/>
        <v>4</v>
      </c>
      <c r="J314" s="37" t="str">
        <f t="shared" si="9"/>
        <v>02/18</v>
      </c>
    </row>
    <row r="315" spans="1:10" x14ac:dyDescent="0.25">
      <c r="A315" s="25">
        <v>130340001</v>
      </c>
      <c r="B315" s="26">
        <v>1007</v>
      </c>
      <c r="C315" s="24" t="s">
        <v>19</v>
      </c>
      <c r="D315" s="54">
        <v>43146</v>
      </c>
      <c r="E315" s="38" t="s">
        <v>9</v>
      </c>
      <c r="F315" s="28">
        <v>1</v>
      </c>
      <c r="G315" s="27" t="s">
        <v>61</v>
      </c>
      <c r="H315" s="29" t="s">
        <v>8</v>
      </c>
      <c r="I315" s="37">
        <f t="shared" si="10"/>
        <v>4</v>
      </c>
      <c r="J315" s="37" t="str">
        <f t="shared" si="9"/>
        <v>02/18</v>
      </c>
    </row>
    <row r="316" spans="1:10" x14ac:dyDescent="0.25">
      <c r="A316" s="25">
        <v>132170001</v>
      </c>
      <c r="B316" s="26">
        <v>1007</v>
      </c>
      <c r="C316" s="24" t="s">
        <v>19</v>
      </c>
      <c r="D316" s="54">
        <v>43146</v>
      </c>
      <c r="E316" s="38" t="s">
        <v>9</v>
      </c>
      <c r="F316" s="28">
        <v>4</v>
      </c>
      <c r="G316" s="27" t="s">
        <v>61</v>
      </c>
      <c r="H316" s="29" t="s">
        <v>8</v>
      </c>
      <c r="I316" s="37">
        <f t="shared" si="10"/>
        <v>4</v>
      </c>
      <c r="J316" s="37" t="str">
        <f t="shared" si="9"/>
        <v>02/18</v>
      </c>
    </row>
    <row r="317" spans="1:10" x14ac:dyDescent="0.25">
      <c r="A317" s="25">
        <v>132940001</v>
      </c>
      <c r="B317" s="26">
        <v>1047</v>
      </c>
      <c r="C317" s="24" t="s">
        <v>21</v>
      </c>
      <c r="D317" s="54">
        <v>43146</v>
      </c>
      <c r="E317" s="38" t="s">
        <v>9</v>
      </c>
      <c r="F317" s="28">
        <v>2</v>
      </c>
      <c r="G317" s="27" t="s">
        <v>63</v>
      </c>
      <c r="H317" s="29" t="s">
        <v>8</v>
      </c>
      <c r="I317" s="37">
        <f t="shared" si="10"/>
        <v>4</v>
      </c>
      <c r="J317" s="37" t="str">
        <f t="shared" si="9"/>
        <v>02/18</v>
      </c>
    </row>
    <row r="318" spans="1:10" x14ac:dyDescent="0.25">
      <c r="A318" s="25">
        <v>133980001</v>
      </c>
      <c r="B318" s="26">
        <v>1047</v>
      </c>
      <c r="C318" s="24" t="s">
        <v>21</v>
      </c>
      <c r="D318" s="54">
        <v>43146</v>
      </c>
      <c r="E318" s="38" t="s">
        <v>9</v>
      </c>
      <c r="F318" s="28">
        <v>6</v>
      </c>
      <c r="G318" s="27" t="s">
        <v>63</v>
      </c>
      <c r="H318" s="29" t="s">
        <v>8</v>
      </c>
      <c r="I318" s="37">
        <f t="shared" si="10"/>
        <v>4</v>
      </c>
      <c r="J318" s="37" t="str">
        <f t="shared" si="9"/>
        <v>02/18</v>
      </c>
    </row>
    <row r="319" spans="1:10" x14ac:dyDescent="0.25">
      <c r="A319" s="25">
        <v>132940001</v>
      </c>
      <c r="B319" s="26">
        <v>1032</v>
      </c>
      <c r="C319" s="24" t="s">
        <v>21</v>
      </c>
      <c r="D319" s="54">
        <v>43146</v>
      </c>
      <c r="E319" s="38" t="s">
        <v>9</v>
      </c>
      <c r="F319" s="28">
        <v>8</v>
      </c>
      <c r="G319" s="27" t="s">
        <v>62</v>
      </c>
      <c r="H319" s="29" t="s">
        <v>8</v>
      </c>
      <c r="I319" s="37">
        <f t="shared" si="10"/>
        <v>4</v>
      </c>
      <c r="J319" s="37" t="str">
        <f t="shared" si="9"/>
        <v>02/18</v>
      </c>
    </row>
    <row r="320" spans="1:10" x14ac:dyDescent="0.25">
      <c r="A320" s="25">
        <v>132170001</v>
      </c>
      <c r="B320" s="26">
        <v>1253</v>
      </c>
      <c r="C320" s="24" t="s">
        <v>21</v>
      </c>
      <c r="D320" s="54">
        <v>43146</v>
      </c>
      <c r="E320" s="38" t="s">
        <v>9</v>
      </c>
      <c r="F320" s="28">
        <v>8</v>
      </c>
      <c r="G320" s="27" t="s">
        <v>65</v>
      </c>
      <c r="H320" s="29" t="s">
        <v>8</v>
      </c>
      <c r="I320" s="37">
        <f t="shared" si="10"/>
        <v>4</v>
      </c>
      <c r="J320" s="37" t="str">
        <f t="shared" si="9"/>
        <v>02/18</v>
      </c>
    </row>
    <row r="321" spans="1:10" x14ac:dyDescent="0.25">
      <c r="A321" s="25">
        <v>132170001</v>
      </c>
      <c r="B321" s="26">
        <v>1437</v>
      </c>
      <c r="C321" s="24" t="s">
        <v>21</v>
      </c>
      <c r="D321" s="54">
        <v>43146</v>
      </c>
      <c r="E321" s="38" t="s">
        <v>9</v>
      </c>
      <c r="F321" s="28">
        <v>8</v>
      </c>
      <c r="G321" s="27" t="s">
        <v>64</v>
      </c>
      <c r="H321" s="29" t="s">
        <v>8</v>
      </c>
      <c r="I321" s="37">
        <f t="shared" si="10"/>
        <v>4</v>
      </c>
      <c r="J321" s="37" t="str">
        <f t="shared" si="9"/>
        <v>02/18</v>
      </c>
    </row>
    <row r="322" spans="1:10" x14ac:dyDescent="0.25">
      <c r="A322" s="25">
        <v>132270001</v>
      </c>
      <c r="B322" s="26">
        <v>1437</v>
      </c>
      <c r="C322" s="24" t="s">
        <v>21</v>
      </c>
      <c r="D322" s="54">
        <v>43146</v>
      </c>
      <c r="E322" s="38" t="s">
        <v>10</v>
      </c>
      <c r="F322" s="28">
        <v>2</v>
      </c>
      <c r="G322" s="27" t="s">
        <v>64</v>
      </c>
      <c r="H322" s="29" t="s">
        <v>8</v>
      </c>
      <c r="I322" s="37">
        <f t="shared" si="10"/>
        <v>4</v>
      </c>
      <c r="J322" s="37" t="str">
        <f t="shared" ref="J322:J367" si="11">TEXT(IF(I322= 1,D322+6, IF(I322= 2, D322+5, IF(I322= 3,D322+4, IF(I322= 4, D322+3, IF(I322= 5, D322+2, IF(I322= 6, D322+1, IF(I322=7,D322+0))))))),"mm/dd")</f>
        <v>02/18</v>
      </c>
    </row>
    <row r="323" spans="1:10" x14ac:dyDescent="0.25">
      <c r="A323" s="25">
        <v>132170001</v>
      </c>
      <c r="B323" s="26">
        <v>1082</v>
      </c>
      <c r="C323" s="24" t="s">
        <v>19</v>
      </c>
      <c r="D323" s="54">
        <v>43146</v>
      </c>
      <c r="E323" s="38" t="s">
        <v>9</v>
      </c>
      <c r="F323" s="28">
        <v>8</v>
      </c>
      <c r="G323" s="27" t="s">
        <v>57</v>
      </c>
      <c r="H323" s="29" t="s">
        <v>8</v>
      </c>
      <c r="I323" s="37">
        <f t="shared" si="10"/>
        <v>4</v>
      </c>
      <c r="J323" s="37" t="str">
        <f t="shared" si="11"/>
        <v>02/18</v>
      </c>
    </row>
    <row r="324" spans="1:10" x14ac:dyDescent="0.25">
      <c r="A324" s="25">
        <v>130340001</v>
      </c>
      <c r="B324" s="26">
        <v>1247</v>
      </c>
      <c r="C324" s="24" t="s">
        <v>20</v>
      </c>
      <c r="D324" s="54">
        <v>43146</v>
      </c>
      <c r="E324" s="38" t="s">
        <v>9</v>
      </c>
      <c r="F324" s="28">
        <v>8</v>
      </c>
      <c r="G324" s="27" t="s">
        <v>66</v>
      </c>
      <c r="H324" s="29" t="s">
        <v>8</v>
      </c>
      <c r="I324" s="37">
        <f t="shared" si="10"/>
        <v>4</v>
      </c>
      <c r="J324" s="37" t="str">
        <f t="shared" si="11"/>
        <v>02/18</v>
      </c>
    </row>
    <row r="325" spans="1:10" x14ac:dyDescent="0.25">
      <c r="A325" s="25">
        <v>132270001</v>
      </c>
      <c r="B325" s="26">
        <v>1025</v>
      </c>
      <c r="C325" s="24" t="s">
        <v>19</v>
      </c>
      <c r="D325" s="54">
        <v>43146</v>
      </c>
      <c r="E325" s="38" t="s">
        <v>9</v>
      </c>
      <c r="F325" s="28">
        <v>8</v>
      </c>
      <c r="G325" s="27" t="s">
        <v>67</v>
      </c>
      <c r="H325" s="29" t="s">
        <v>8</v>
      </c>
      <c r="I325" s="37">
        <f t="shared" si="10"/>
        <v>4</v>
      </c>
      <c r="J325" s="37" t="str">
        <f t="shared" si="11"/>
        <v>02/18</v>
      </c>
    </row>
    <row r="326" spans="1:10" x14ac:dyDescent="0.25">
      <c r="A326" s="25">
        <v>132270001</v>
      </c>
      <c r="B326" s="26">
        <v>1025</v>
      </c>
      <c r="C326" s="24" t="s">
        <v>19</v>
      </c>
      <c r="D326" s="54">
        <v>43146</v>
      </c>
      <c r="E326" s="38" t="s">
        <v>10</v>
      </c>
      <c r="F326" s="28">
        <v>2</v>
      </c>
      <c r="G326" s="27" t="s">
        <v>67</v>
      </c>
      <c r="H326" s="29" t="s">
        <v>8</v>
      </c>
      <c r="I326" s="37">
        <f t="shared" si="10"/>
        <v>4</v>
      </c>
      <c r="J326" s="37" t="str">
        <f t="shared" si="11"/>
        <v>02/18</v>
      </c>
    </row>
    <row r="327" spans="1:10" x14ac:dyDescent="0.25">
      <c r="A327" s="25">
        <v>132270001</v>
      </c>
      <c r="B327" s="26">
        <v>1027</v>
      </c>
      <c r="C327" s="24" t="s">
        <v>22</v>
      </c>
      <c r="D327" s="54">
        <v>43146</v>
      </c>
      <c r="E327" s="38" t="s">
        <v>9</v>
      </c>
      <c r="F327" s="28">
        <v>8</v>
      </c>
      <c r="G327" s="27" t="s">
        <v>68</v>
      </c>
      <c r="H327" s="29">
        <v>2</v>
      </c>
      <c r="I327" s="37">
        <f t="shared" si="10"/>
        <v>4</v>
      </c>
      <c r="J327" s="37" t="str">
        <f t="shared" si="11"/>
        <v>02/18</v>
      </c>
    </row>
    <row r="328" spans="1:10" x14ac:dyDescent="0.25">
      <c r="A328" s="25">
        <v>132270001</v>
      </c>
      <c r="B328" s="26">
        <v>1027</v>
      </c>
      <c r="C328" s="24" t="s">
        <v>22</v>
      </c>
      <c r="D328" s="54">
        <v>43146</v>
      </c>
      <c r="E328" s="38" t="s">
        <v>10</v>
      </c>
      <c r="F328" s="28">
        <v>1.5</v>
      </c>
      <c r="G328" s="27" t="s">
        <v>68</v>
      </c>
      <c r="H328" s="29">
        <v>2</v>
      </c>
      <c r="I328" s="37">
        <f t="shared" si="10"/>
        <v>4</v>
      </c>
      <c r="J328" s="37" t="str">
        <f t="shared" si="11"/>
        <v>02/18</v>
      </c>
    </row>
    <row r="329" spans="1:10" x14ac:dyDescent="0.25">
      <c r="A329" s="25">
        <v>132270001</v>
      </c>
      <c r="B329" s="26">
        <v>1121</v>
      </c>
      <c r="C329" s="24" t="s">
        <v>21</v>
      </c>
      <c r="D329" s="54">
        <v>43146</v>
      </c>
      <c r="E329" s="38" t="s">
        <v>9</v>
      </c>
      <c r="F329" s="28">
        <v>8</v>
      </c>
      <c r="G329" s="27" t="s">
        <v>69</v>
      </c>
      <c r="H329" s="29" t="s">
        <v>8</v>
      </c>
      <c r="I329" s="37">
        <f t="shared" si="10"/>
        <v>4</v>
      </c>
      <c r="J329" s="37" t="str">
        <f t="shared" si="11"/>
        <v>02/18</v>
      </c>
    </row>
    <row r="330" spans="1:10" x14ac:dyDescent="0.25">
      <c r="A330" s="25">
        <v>132270001</v>
      </c>
      <c r="B330" s="26">
        <v>1121</v>
      </c>
      <c r="C330" s="24" t="s">
        <v>21</v>
      </c>
      <c r="D330" s="54">
        <v>43146</v>
      </c>
      <c r="E330" s="38" t="s">
        <v>10</v>
      </c>
      <c r="F330" s="28">
        <v>1</v>
      </c>
      <c r="G330" s="27" t="s">
        <v>69</v>
      </c>
      <c r="H330" s="29" t="s">
        <v>8</v>
      </c>
      <c r="I330" s="37">
        <f t="shared" si="10"/>
        <v>4</v>
      </c>
      <c r="J330" s="37" t="str">
        <f t="shared" si="11"/>
        <v>02/18</v>
      </c>
    </row>
    <row r="331" spans="1:10" x14ac:dyDescent="0.25">
      <c r="A331" s="25">
        <v>132270001</v>
      </c>
      <c r="B331" s="26">
        <v>1360</v>
      </c>
      <c r="C331" s="24" t="s">
        <v>24</v>
      </c>
      <c r="D331" s="54">
        <v>43146</v>
      </c>
      <c r="E331" s="38" t="s">
        <v>9</v>
      </c>
      <c r="F331" s="28">
        <v>8</v>
      </c>
      <c r="G331" s="27" t="s">
        <v>56</v>
      </c>
      <c r="H331" s="29">
        <v>4</v>
      </c>
      <c r="I331" s="37">
        <f t="shared" si="10"/>
        <v>4</v>
      </c>
      <c r="J331" s="37" t="str">
        <f t="shared" si="11"/>
        <v>02/18</v>
      </c>
    </row>
    <row r="332" spans="1:10" x14ac:dyDescent="0.25">
      <c r="A332" s="25">
        <v>132270001</v>
      </c>
      <c r="B332" s="26">
        <v>1360</v>
      </c>
      <c r="C332" s="24" t="s">
        <v>24</v>
      </c>
      <c r="D332" s="54">
        <v>43146</v>
      </c>
      <c r="E332" s="38" t="s">
        <v>10</v>
      </c>
      <c r="F332" s="28">
        <v>1</v>
      </c>
      <c r="G332" s="27" t="s">
        <v>56</v>
      </c>
      <c r="H332" s="29">
        <v>4</v>
      </c>
      <c r="I332" s="37">
        <f t="shared" si="10"/>
        <v>4</v>
      </c>
      <c r="J332" s="37" t="str">
        <f t="shared" si="11"/>
        <v>02/18</v>
      </c>
    </row>
    <row r="333" spans="1:10" x14ac:dyDescent="0.25">
      <c r="A333" s="25">
        <v>132270001</v>
      </c>
      <c r="B333" s="26">
        <v>1120</v>
      </c>
      <c r="C333" s="24" t="s">
        <v>21</v>
      </c>
      <c r="D333" s="54">
        <v>43146</v>
      </c>
      <c r="E333" s="38" t="s">
        <v>9</v>
      </c>
      <c r="F333" s="28">
        <v>8</v>
      </c>
      <c r="G333" s="27" t="s">
        <v>70</v>
      </c>
      <c r="H333" s="29" t="s">
        <v>8</v>
      </c>
      <c r="I333" s="37">
        <f t="shared" si="10"/>
        <v>4</v>
      </c>
      <c r="J333" s="37" t="str">
        <f t="shared" si="11"/>
        <v>02/18</v>
      </c>
    </row>
    <row r="334" spans="1:10" x14ac:dyDescent="0.25">
      <c r="A334" s="25">
        <v>132270001</v>
      </c>
      <c r="B334" s="26">
        <v>1120</v>
      </c>
      <c r="C334" s="24" t="s">
        <v>21</v>
      </c>
      <c r="D334" s="54">
        <v>43146</v>
      </c>
      <c r="E334" s="38" t="s">
        <v>10</v>
      </c>
      <c r="F334" s="28">
        <v>1.5</v>
      </c>
      <c r="G334" s="27" t="s">
        <v>70</v>
      </c>
      <c r="H334" s="29" t="s">
        <v>8</v>
      </c>
      <c r="I334" s="37">
        <f t="shared" si="10"/>
        <v>4</v>
      </c>
      <c r="J334" s="37" t="str">
        <f t="shared" si="11"/>
        <v>02/18</v>
      </c>
    </row>
    <row r="335" spans="1:10" x14ac:dyDescent="0.25">
      <c r="A335" s="25">
        <v>132270001</v>
      </c>
      <c r="B335" s="26">
        <v>1354</v>
      </c>
      <c r="C335" s="24" t="s">
        <v>21</v>
      </c>
      <c r="D335" s="54">
        <v>43146</v>
      </c>
      <c r="E335" s="38" t="s">
        <v>9</v>
      </c>
      <c r="F335" s="28">
        <v>8</v>
      </c>
      <c r="G335" s="27" t="s">
        <v>71</v>
      </c>
      <c r="H335" s="29" t="s">
        <v>8</v>
      </c>
      <c r="I335" s="37">
        <f t="shared" si="10"/>
        <v>4</v>
      </c>
      <c r="J335" s="37" t="str">
        <f t="shared" si="11"/>
        <v>02/18</v>
      </c>
    </row>
    <row r="336" spans="1:10" x14ac:dyDescent="0.25">
      <c r="A336" s="25">
        <v>132270001</v>
      </c>
      <c r="B336" s="26">
        <v>1354</v>
      </c>
      <c r="C336" s="24" t="s">
        <v>21</v>
      </c>
      <c r="D336" s="54">
        <v>43146</v>
      </c>
      <c r="E336" s="38" t="s">
        <v>10</v>
      </c>
      <c r="F336" s="28">
        <v>1</v>
      </c>
      <c r="G336" s="27" t="s">
        <v>71</v>
      </c>
      <c r="H336" s="29" t="s">
        <v>8</v>
      </c>
      <c r="I336" s="37">
        <f t="shared" si="10"/>
        <v>4</v>
      </c>
      <c r="J336" s="37" t="str">
        <f t="shared" si="11"/>
        <v>02/18</v>
      </c>
    </row>
    <row r="337" spans="1:10" x14ac:dyDescent="0.25">
      <c r="A337" s="25">
        <v>132270001</v>
      </c>
      <c r="B337" s="26">
        <v>1212</v>
      </c>
      <c r="C337" s="24" t="s">
        <v>20</v>
      </c>
      <c r="D337" s="54">
        <v>43146</v>
      </c>
      <c r="E337" s="38" t="s">
        <v>9</v>
      </c>
      <c r="F337" s="28">
        <v>8</v>
      </c>
      <c r="G337" s="27" t="s">
        <v>72</v>
      </c>
      <c r="H337" s="29" t="s">
        <v>8</v>
      </c>
      <c r="I337" s="37">
        <f t="shared" si="10"/>
        <v>4</v>
      </c>
      <c r="J337" s="37" t="str">
        <f t="shared" si="11"/>
        <v>02/18</v>
      </c>
    </row>
    <row r="338" spans="1:10" x14ac:dyDescent="0.25">
      <c r="A338" s="25">
        <v>132270001</v>
      </c>
      <c r="B338" s="26">
        <v>1212</v>
      </c>
      <c r="C338" s="24" t="s">
        <v>20</v>
      </c>
      <c r="D338" s="54">
        <v>43146</v>
      </c>
      <c r="E338" s="38" t="s">
        <v>10</v>
      </c>
      <c r="F338" s="28">
        <v>1</v>
      </c>
      <c r="G338" s="27" t="s">
        <v>72</v>
      </c>
      <c r="H338" s="29" t="s">
        <v>8</v>
      </c>
      <c r="I338" s="37">
        <f t="shared" si="10"/>
        <v>4</v>
      </c>
      <c r="J338" s="37" t="str">
        <f t="shared" si="11"/>
        <v>02/18</v>
      </c>
    </row>
    <row r="339" spans="1:10" x14ac:dyDescent="0.25">
      <c r="A339" s="25">
        <v>132270001</v>
      </c>
      <c r="B339" s="26">
        <v>1204</v>
      </c>
      <c r="C339" s="24" t="s">
        <v>20</v>
      </c>
      <c r="D339" s="54">
        <v>43146</v>
      </c>
      <c r="E339" s="38" t="s">
        <v>9</v>
      </c>
      <c r="F339" s="28">
        <v>8</v>
      </c>
      <c r="G339" s="27" t="s">
        <v>75</v>
      </c>
      <c r="H339" s="29" t="s">
        <v>8</v>
      </c>
      <c r="I339" s="37">
        <f t="shared" si="10"/>
        <v>4</v>
      </c>
      <c r="J339" s="37" t="str">
        <f t="shared" si="11"/>
        <v>02/18</v>
      </c>
    </row>
    <row r="340" spans="1:10" x14ac:dyDescent="0.25">
      <c r="A340" s="25">
        <v>132270001</v>
      </c>
      <c r="B340" s="26">
        <v>1204</v>
      </c>
      <c r="C340" s="24" t="s">
        <v>20</v>
      </c>
      <c r="D340" s="54">
        <v>43146</v>
      </c>
      <c r="E340" s="38" t="s">
        <v>10</v>
      </c>
      <c r="F340" s="28">
        <v>1</v>
      </c>
      <c r="G340" s="27" t="s">
        <v>75</v>
      </c>
      <c r="H340" s="29" t="s">
        <v>8</v>
      </c>
      <c r="I340" s="37">
        <f t="shared" si="10"/>
        <v>4</v>
      </c>
      <c r="J340" s="37" t="str">
        <f t="shared" si="11"/>
        <v>02/18</v>
      </c>
    </row>
    <row r="341" spans="1:10" x14ac:dyDescent="0.25">
      <c r="A341" s="25">
        <v>132170001</v>
      </c>
      <c r="B341" s="26">
        <v>1122</v>
      </c>
      <c r="C341" s="24" t="s">
        <v>22</v>
      </c>
      <c r="D341" s="54">
        <v>43147</v>
      </c>
      <c r="E341" s="38" t="s">
        <v>9</v>
      </c>
      <c r="F341" s="28">
        <v>6</v>
      </c>
      <c r="G341" s="27" t="s">
        <v>54</v>
      </c>
      <c r="H341" s="29">
        <v>2</v>
      </c>
      <c r="I341" s="37">
        <f t="shared" si="10"/>
        <v>5</v>
      </c>
      <c r="J341" s="37" t="str">
        <f t="shared" si="11"/>
        <v>02/18</v>
      </c>
    </row>
    <row r="342" spans="1:10" x14ac:dyDescent="0.25">
      <c r="A342" s="25">
        <v>132170001</v>
      </c>
      <c r="B342" s="26">
        <v>1070</v>
      </c>
      <c r="C342" s="24" t="s">
        <v>24</v>
      </c>
      <c r="D342" s="54">
        <v>43147</v>
      </c>
      <c r="E342" s="38" t="s">
        <v>9</v>
      </c>
      <c r="F342" s="28">
        <v>6</v>
      </c>
      <c r="G342" s="27" t="s">
        <v>73</v>
      </c>
      <c r="H342" s="29">
        <v>4</v>
      </c>
      <c r="I342" s="37">
        <f t="shared" si="10"/>
        <v>5</v>
      </c>
      <c r="J342" s="37" t="str">
        <f t="shared" si="11"/>
        <v>02/18</v>
      </c>
    </row>
    <row r="343" spans="1:10" x14ac:dyDescent="0.25">
      <c r="A343" s="25">
        <v>132170001</v>
      </c>
      <c r="B343" s="26">
        <v>1209</v>
      </c>
      <c r="C343" s="24" t="s">
        <v>19</v>
      </c>
      <c r="D343" s="54">
        <v>43147</v>
      </c>
      <c r="E343" s="38" t="s">
        <v>9</v>
      </c>
      <c r="F343" s="28">
        <v>6</v>
      </c>
      <c r="G343" s="27" t="s">
        <v>55</v>
      </c>
      <c r="H343" s="29" t="s">
        <v>8</v>
      </c>
      <c r="I343" s="37">
        <f t="shared" si="10"/>
        <v>5</v>
      </c>
      <c r="J343" s="37" t="str">
        <f t="shared" si="11"/>
        <v>02/18</v>
      </c>
    </row>
    <row r="344" spans="1:10" x14ac:dyDescent="0.25">
      <c r="A344" s="25">
        <v>132170001</v>
      </c>
      <c r="B344" s="26">
        <v>1035</v>
      </c>
      <c r="C344" s="24" t="s">
        <v>23</v>
      </c>
      <c r="D344" s="54">
        <v>43147</v>
      </c>
      <c r="E344" s="49" t="s">
        <v>9</v>
      </c>
      <c r="F344" s="28">
        <v>6</v>
      </c>
      <c r="G344" s="27" t="s">
        <v>59</v>
      </c>
      <c r="H344" s="29" t="s">
        <v>8</v>
      </c>
      <c r="I344" s="37">
        <f t="shared" si="10"/>
        <v>5</v>
      </c>
      <c r="J344" s="37" t="str">
        <f t="shared" si="11"/>
        <v>02/18</v>
      </c>
    </row>
    <row r="345" spans="1:10" x14ac:dyDescent="0.25">
      <c r="A345" s="25">
        <v>132170001</v>
      </c>
      <c r="B345" s="26">
        <v>1309</v>
      </c>
      <c r="C345" s="24" t="s">
        <v>20</v>
      </c>
      <c r="D345" s="54">
        <v>43147</v>
      </c>
      <c r="E345" s="38" t="s">
        <v>9</v>
      </c>
      <c r="F345" s="28">
        <v>6</v>
      </c>
      <c r="G345" s="27" t="s">
        <v>60</v>
      </c>
      <c r="H345" s="29" t="s">
        <v>8</v>
      </c>
      <c r="I345" s="37">
        <f t="shared" si="10"/>
        <v>5</v>
      </c>
      <c r="J345" s="37" t="str">
        <f t="shared" si="11"/>
        <v>02/18</v>
      </c>
    </row>
    <row r="346" spans="1:10" x14ac:dyDescent="0.25">
      <c r="A346" s="25">
        <v>132940001</v>
      </c>
      <c r="B346" s="26">
        <v>1007</v>
      </c>
      <c r="C346" s="24" t="s">
        <v>19</v>
      </c>
      <c r="D346" s="54">
        <v>43147</v>
      </c>
      <c r="E346" s="38" t="s">
        <v>9</v>
      </c>
      <c r="F346" s="28">
        <v>2</v>
      </c>
      <c r="G346" s="27" t="s">
        <v>61</v>
      </c>
      <c r="H346" s="29" t="s">
        <v>8</v>
      </c>
      <c r="I346" s="37">
        <f t="shared" si="10"/>
        <v>5</v>
      </c>
      <c r="J346" s="37" t="str">
        <f t="shared" si="11"/>
        <v>02/18</v>
      </c>
    </row>
    <row r="347" spans="1:10" x14ac:dyDescent="0.25">
      <c r="A347" s="25">
        <v>130340001</v>
      </c>
      <c r="B347" s="26">
        <v>1007</v>
      </c>
      <c r="C347" s="24" t="s">
        <v>19</v>
      </c>
      <c r="D347" s="54">
        <v>43147</v>
      </c>
      <c r="E347" s="38" t="s">
        <v>9</v>
      </c>
      <c r="F347" s="28">
        <v>1</v>
      </c>
      <c r="G347" s="27" t="s">
        <v>61</v>
      </c>
      <c r="H347" s="29" t="s">
        <v>8</v>
      </c>
      <c r="I347" s="37">
        <f t="shared" si="10"/>
        <v>5</v>
      </c>
      <c r="J347" s="37" t="str">
        <f t="shared" si="11"/>
        <v>02/18</v>
      </c>
    </row>
    <row r="348" spans="1:10" x14ac:dyDescent="0.25">
      <c r="A348" s="25">
        <v>133980001</v>
      </c>
      <c r="B348" s="26">
        <v>1007</v>
      </c>
      <c r="C348" s="24" t="s">
        <v>19</v>
      </c>
      <c r="D348" s="54">
        <v>43147</v>
      </c>
      <c r="E348" s="38" t="s">
        <v>9</v>
      </c>
      <c r="F348" s="28">
        <v>1</v>
      </c>
      <c r="G348" s="27" t="s">
        <v>61</v>
      </c>
      <c r="H348" s="29" t="s">
        <v>8</v>
      </c>
      <c r="I348" s="37">
        <f t="shared" si="10"/>
        <v>5</v>
      </c>
      <c r="J348" s="37" t="str">
        <f t="shared" si="11"/>
        <v>02/18</v>
      </c>
    </row>
    <row r="349" spans="1:10" x14ac:dyDescent="0.25">
      <c r="A349" s="25">
        <v>132170001</v>
      </c>
      <c r="B349" s="26">
        <v>1007</v>
      </c>
      <c r="C349" s="24" t="s">
        <v>19</v>
      </c>
      <c r="D349" s="54">
        <v>43147</v>
      </c>
      <c r="E349" s="38" t="s">
        <v>9</v>
      </c>
      <c r="F349" s="28">
        <v>2</v>
      </c>
      <c r="G349" s="27" t="s">
        <v>61</v>
      </c>
      <c r="H349" s="29" t="s">
        <v>8</v>
      </c>
      <c r="I349" s="37">
        <f t="shared" si="10"/>
        <v>5</v>
      </c>
      <c r="J349" s="37" t="str">
        <f t="shared" si="11"/>
        <v>02/18</v>
      </c>
    </row>
    <row r="350" spans="1:10" x14ac:dyDescent="0.25">
      <c r="A350" s="25">
        <v>135150001</v>
      </c>
      <c r="B350" s="26">
        <v>1007</v>
      </c>
      <c r="C350" s="24" t="s">
        <v>19</v>
      </c>
      <c r="D350" s="54">
        <v>43147</v>
      </c>
      <c r="E350" s="38" t="s">
        <v>9</v>
      </c>
      <c r="F350" s="28">
        <v>2</v>
      </c>
      <c r="G350" s="27" t="s">
        <v>61</v>
      </c>
      <c r="H350" s="29" t="s">
        <v>8</v>
      </c>
      <c r="I350" s="37">
        <f t="shared" si="10"/>
        <v>5</v>
      </c>
      <c r="J350" s="37" t="str">
        <f t="shared" si="11"/>
        <v>02/18</v>
      </c>
    </row>
    <row r="351" spans="1:10" x14ac:dyDescent="0.25">
      <c r="A351" s="25">
        <v>132940001</v>
      </c>
      <c r="B351" s="26">
        <v>1047</v>
      </c>
      <c r="C351" s="24" t="s">
        <v>21</v>
      </c>
      <c r="D351" s="54">
        <v>43147</v>
      </c>
      <c r="E351" s="38" t="s">
        <v>9</v>
      </c>
      <c r="F351" s="28">
        <v>8</v>
      </c>
      <c r="G351" s="27" t="s">
        <v>63</v>
      </c>
      <c r="H351" s="29" t="s">
        <v>8</v>
      </c>
      <c r="I351" s="37">
        <f t="shared" si="10"/>
        <v>5</v>
      </c>
      <c r="J351" s="37" t="str">
        <f t="shared" si="11"/>
        <v>02/18</v>
      </c>
    </row>
    <row r="352" spans="1:10" x14ac:dyDescent="0.25">
      <c r="A352" s="25">
        <v>132940001</v>
      </c>
      <c r="B352" s="26">
        <v>1032</v>
      </c>
      <c r="C352" s="24" t="s">
        <v>21</v>
      </c>
      <c r="D352" s="54">
        <v>43147</v>
      </c>
      <c r="E352" s="38" t="s">
        <v>9</v>
      </c>
      <c r="F352" s="28">
        <v>8</v>
      </c>
      <c r="G352" s="27" t="s">
        <v>62</v>
      </c>
      <c r="H352" s="29" t="s">
        <v>8</v>
      </c>
      <c r="I352" s="37">
        <f t="shared" si="10"/>
        <v>5</v>
      </c>
      <c r="J352" s="37" t="str">
        <f t="shared" si="11"/>
        <v>02/18</v>
      </c>
    </row>
    <row r="353" spans="1:10" x14ac:dyDescent="0.25">
      <c r="A353" s="25">
        <v>130340001</v>
      </c>
      <c r="B353" s="26">
        <v>1247</v>
      </c>
      <c r="C353" s="24" t="s">
        <v>20</v>
      </c>
      <c r="D353" s="54">
        <v>43147</v>
      </c>
      <c r="E353" s="38" t="s">
        <v>9</v>
      </c>
      <c r="F353" s="28">
        <v>8</v>
      </c>
      <c r="G353" s="27" t="s">
        <v>66</v>
      </c>
      <c r="H353" s="29" t="s">
        <v>8</v>
      </c>
      <c r="I353" s="37">
        <f t="shared" si="10"/>
        <v>5</v>
      </c>
      <c r="J353" s="37" t="str">
        <f t="shared" si="11"/>
        <v>02/18</v>
      </c>
    </row>
    <row r="354" spans="1:10" x14ac:dyDescent="0.25">
      <c r="A354" s="25">
        <v>106950001</v>
      </c>
      <c r="B354" s="26">
        <v>1480</v>
      </c>
      <c r="C354" s="24" t="s">
        <v>21</v>
      </c>
      <c r="D354" s="54">
        <v>43147</v>
      </c>
      <c r="E354" s="38" t="s">
        <v>9</v>
      </c>
      <c r="F354" s="28">
        <v>8</v>
      </c>
      <c r="G354" s="27" t="s">
        <v>53</v>
      </c>
      <c r="H354" s="29" t="s">
        <v>8</v>
      </c>
      <c r="I354" s="37">
        <f t="shared" si="10"/>
        <v>5</v>
      </c>
      <c r="J354" s="37" t="str">
        <f t="shared" si="11"/>
        <v>02/18</v>
      </c>
    </row>
    <row r="355" spans="1:10" x14ac:dyDescent="0.25">
      <c r="A355" s="25">
        <v>106950001</v>
      </c>
      <c r="B355" s="26">
        <v>1480</v>
      </c>
      <c r="C355" s="24" t="s">
        <v>21</v>
      </c>
      <c r="D355" s="54">
        <v>43147</v>
      </c>
      <c r="E355" s="38" t="s">
        <v>10</v>
      </c>
      <c r="F355" s="28">
        <v>4</v>
      </c>
      <c r="G355" s="27" t="s">
        <v>53</v>
      </c>
      <c r="H355" s="29" t="s">
        <v>8</v>
      </c>
      <c r="I355" s="37">
        <f t="shared" si="10"/>
        <v>5</v>
      </c>
      <c r="J355" s="37" t="str">
        <f t="shared" si="11"/>
        <v>02/18</v>
      </c>
    </row>
    <row r="356" spans="1:10" x14ac:dyDescent="0.25">
      <c r="A356" s="25">
        <v>132270001</v>
      </c>
      <c r="B356" s="26">
        <v>1025</v>
      </c>
      <c r="C356" s="24" t="s">
        <v>19</v>
      </c>
      <c r="D356" s="54">
        <v>43147</v>
      </c>
      <c r="E356" s="38" t="s">
        <v>9</v>
      </c>
      <c r="F356" s="28">
        <v>8</v>
      </c>
      <c r="G356" s="27" t="s">
        <v>67</v>
      </c>
      <c r="H356" s="29" t="s">
        <v>8</v>
      </c>
      <c r="I356" s="37">
        <f t="shared" si="10"/>
        <v>5</v>
      </c>
      <c r="J356" s="37" t="str">
        <f t="shared" si="11"/>
        <v>02/18</v>
      </c>
    </row>
    <row r="357" spans="1:10" x14ac:dyDescent="0.25">
      <c r="A357" s="25">
        <v>132270001</v>
      </c>
      <c r="B357" s="26">
        <v>1025</v>
      </c>
      <c r="C357" s="24" t="s">
        <v>19</v>
      </c>
      <c r="D357" s="54">
        <v>43147</v>
      </c>
      <c r="E357" s="38" t="s">
        <v>10</v>
      </c>
      <c r="F357" s="28">
        <v>0.5</v>
      </c>
      <c r="G357" s="27" t="s">
        <v>67</v>
      </c>
      <c r="H357" s="29" t="s">
        <v>8</v>
      </c>
      <c r="I357" s="37">
        <f t="shared" si="10"/>
        <v>5</v>
      </c>
      <c r="J357" s="37" t="str">
        <f t="shared" si="11"/>
        <v>02/18</v>
      </c>
    </row>
    <row r="358" spans="1:10" x14ac:dyDescent="0.25">
      <c r="A358" s="25">
        <v>132270001</v>
      </c>
      <c r="B358" s="26">
        <v>1027</v>
      </c>
      <c r="C358" s="24" t="s">
        <v>22</v>
      </c>
      <c r="D358" s="54">
        <v>43147</v>
      </c>
      <c r="E358" s="38" t="s">
        <v>9</v>
      </c>
      <c r="F358" s="28">
        <v>8</v>
      </c>
      <c r="G358" s="27" t="s">
        <v>68</v>
      </c>
      <c r="H358" s="29">
        <v>2</v>
      </c>
      <c r="I358" s="37">
        <f t="shared" si="10"/>
        <v>5</v>
      </c>
      <c r="J358" s="37" t="str">
        <f t="shared" si="11"/>
        <v>02/18</v>
      </c>
    </row>
    <row r="359" spans="1:10" x14ac:dyDescent="0.25">
      <c r="A359" s="25">
        <v>132270001</v>
      </c>
      <c r="B359" s="26">
        <v>1121</v>
      </c>
      <c r="C359" s="24" t="s">
        <v>21</v>
      </c>
      <c r="D359" s="54">
        <v>43147</v>
      </c>
      <c r="E359" s="38" t="s">
        <v>9</v>
      </c>
      <c r="F359" s="28">
        <v>8</v>
      </c>
      <c r="G359" s="27" t="s">
        <v>69</v>
      </c>
      <c r="H359" s="29" t="s">
        <v>8</v>
      </c>
      <c r="I359" s="37">
        <f t="shared" si="10"/>
        <v>5</v>
      </c>
      <c r="J359" s="37" t="str">
        <f t="shared" si="11"/>
        <v>02/18</v>
      </c>
    </row>
    <row r="360" spans="1:10" x14ac:dyDescent="0.25">
      <c r="A360" s="25">
        <v>132270001</v>
      </c>
      <c r="B360" s="26">
        <v>1360</v>
      </c>
      <c r="C360" s="24" t="s">
        <v>24</v>
      </c>
      <c r="D360" s="54">
        <v>43147</v>
      </c>
      <c r="E360" s="38" t="s">
        <v>9</v>
      </c>
      <c r="F360" s="28">
        <v>8</v>
      </c>
      <c r="G360" s="27" t="s">
        <v>56</v>
      </c>
      <c r="H360" s="29">
        <v>4</v>
      </c>
      <c r="I360" s="37">
        <f t="shared" si="10"/>
        <v>5</v>
      </c>
      <c r="J360" s="37" t="str">
        <f t="shared" si="11"/>
        <v>02/18</v>
      </c>
    </row>
    <row r="361" spans="1:10" x14ac:dyDescent="0.25">
      <c r="A361" s="25">
        <v>132270001</v>
      </c>
      <c r="B361" s="26">
        <v>1120</v>
      </c>
      <c r="C361" s="24" t="s">
        <v>21</v>
      </c>
      <c r="D361" s="54">
        <v>43147</v>
      </c>
      <c r="E361" s="38" t="s">
        <v>9</v>
      </c>
      <c r="F361" s="28">
        <v>8</v>
      </c>
      <c r="G361" s="27" t="s">
        <v>70</v>
      </c>
      <c r="H361" s="29" t="s">
        <v>8</v>
      </c>
      <c r="I361" s="37">
        <f t="shared" si="10"/>
        <v>5</v>
      </c>
      <c r="J361" s="37" t="str">
        <f t="shared" si="11"/>
        <v>02/18</v>
      </c>
    </row>
    <row r="362" spans="1:10" x14ac:dyDescent="0.25">
      <c r="A362" s="25">
        <v>132270001</v>
      </c>
      <c r="B362" s="26">
        <v>1354</v>
      </c>
      <c r="C362" s="24" t="s">
        <v>21</v>
      </c>
      <c r="D362" s="54">
        <v>43147</v>
      </c>
      <c r="E362" s="38" t="s">
        <v>9</v>
      </c>
      <c r="F362" s="28">
        <v>8</v>
      </c>
      <c r="G362" s="27" t="s">
        <v>71</v>
      </c>
      <c r="H362" s="29" t="s">
        <v>8</v>
      </c>
      <c r="I362" s="37">
        <f t="shared" si="10"/>
        <v>5</v>
      </c>
      <c r="J362" s="37" t="str">
        <f t="shared" si="11"/>
        <v>02/18</v>
      </c>
    </row>
    <row r="363" spans="1:10" x14ac:dyDescent="0.25">
      <c r="A363" s="25">
        <v>132270001</v>
      </c>
      <c r="B363" s="26">
        <v>1212</v>
      </c>
      <c r="C363" s="24" t="s">
        <v>20</v>
      </c>
      <c r="D363" s="54">
        <v>43147</v>
      </c>
      <c r="E363" s="38" t="s">
        <v>9</v>
      </c>
      <c r="F363" s="28">
        <v>8</v>
      </c>
      <c r="G363" s="27" t="s">
        <v>72</v>
      </c>
      <c r="H363" s="29" t="s">
        <v>8</v>
      </c>
      <c r="I363" s="37">
        <f t="shared" si="10"/>
        <v>5</v>
      </c>
      <c r="J363" s="37" t="str">
        <f t="shared" si="11"/>
        <v>02/18</v>
      </c>
    </row>
    <row r="364" spans="1:10" x14ac:dyDescent="0.25">
      <c r="A364" s="25">
        <v>132270001</v>
      </c>
      <c r="B364" s="26">
        <v>1204</v>
      </c>
      <c r="C364" s="24" t="s">
        <v>20</v>
      </c>
      <c r="D364" s="54">
        <v>43147</v>
      </c>
      <c r="E364" s="38" t="s">
        <v>9</v>
      </c>
      <c r="F364" s="28">
        <v>8</v>
      </c>
      <c r="G364" s="27" t="s">
        <v>75</v>
      </c>
      <c r="H364" s="29" t="s">
        <v>8</v>
      </c>
      <c r="I364" s="37">
        <f t="shared" si="10"/>
        <v>5</v>
      </c>
      <c r="J364" s="37" t="str">
        <f t="shared" si="11"/>
        <v>02/18</v>
      </c>
    </row>
    <row r="365" spans="1:10" x14ac:dyDescent="0.25">
      <c r="A365" s="25">
        <v>106950001</v>
      </c>
      <c r="B365" s="26">
        <v>1480</v>
      </c>
      <c r="C365" s="24" t="s">
        <v>21</v>
      </c>
      <c r="D365" s="54">
        <v>43148</v>
      </c>
      <c r="E365" s="38" t="s">
        <v>10</v>
      </c>
      <c r="F365" s="28">
        <v>12</v>
      </c>
      <c r="G365" s="27" t="s">
        <v>53</v>
      </c>
      <c r="H365" s="29" t="s">
        <v>8</v>
      </c>
      <c r="I365" s="37">
        <f t="shared" si="10"/>
        <v>6</v>
      </c>
      <c r="J365" s="37" t="str">
        <f t="shared" si="11"/>
        <v>02/18</v>
      </c>
    </row>
    <row r="366" spans="1:10" x14ac:dyDescent="0.25">
      <c r="A366" s="25">
        <v>106950001</v>
      </c>
      <c r="B366" s="26">
        <v>1467</v>
      </c>
      <c r="C366" s="24" t="s">
        <v>21</v>
      </c>
      <c r="D366" s="54">
        <v>43148</v>
      </c>
      <c r="E366" s="38" t="s">
        <v>10</v>
      </c>
      <c r="F366" s="28">
        <v>6</v>
      </c>
      <c r="G366" s="27" t="s">
        <v>74</v>
      </c>
      <c r="H366" s="29" t="s">
        <v>8</v>
      </c>
      <c r="I366" s="37">
        <f t="shared" si="10"/>
        <v>6</v>
      </c>
      <c r="J366" s="37" t="str">
        <f t="shared" si="11"/>
        <v>02/18</v>
      </c>
    </row>
    <row r="367" spans="1:10" x14ac:dyDescent="0.25">
      <c r="A367" s="25">
        <v>106950001</v>
      </c>
      <c r="B367" s="26">
        <v>1480</v>
      </c>
      <c r="C367" s="24" t="s">
        <v>21</v>
      </c>
      <c r="D367" s="54">
        <v>43149</v>
      </c>
      <c r="E367" s="38" t="s">
        <v>7</v>
      </c>
      <c r="F367" s="28">
        <v>14.5</v>
      </c>
      <c r="G367" s="27" t="s">
        <v>53</v>
      </c>
      <c r="H367" s="29" t="s">
        <v>8</v>
      </c>
      <c r="I367" s="37">
        <f t="shared" si="10"/>
        <v>7</v>
      </c>
      <c r="J367" s="37" t="str">
        <f t="shared" si="11"/>
        <v>02/18</v>
      </c>
    </row>
    <row r="368" spans="1:10" x14ac:dyDescent="0.25">
      <c r="A368" s="25">
        <v>106950001</v>
      </c>
      <c r="B368" s="26">
        <v>1467</v>
      </c>
      <c r="C368" s="24" t="s">
        <v>21</v>
      </c>
      <c r="D368" s="54">
        <v>43149</v>
      </c>
      <c r="E368" s="38" t="s">
        <v>7</v>
      </c>
      <c r="F368" s="28">
        <v>14.5</v>
      </c>
      <c r="G368" s="27" t="s">
        <v>74</v>
      </c>
      <c r="H368" s="29" t="s">
        <v>8</v>
      </c>
      <c r="I368" s="37">
        <f t="shared" si="10"/>
        <v>7</v>
      </c>
      <c r="J368" s="37" t="str">
        <f>TEXT(IF(I368= 1,D368+6, IF(I368= 2, D368+5, IF(I368= 3,D368+4, IF(I368= 4, D368+3, IF(I368= 5, D368+2, IF(I368= 6, D368+1, IF(I368=7,D368+0))))))),"mm/dd")</f>
        <v>02/18</v>
      </c>
    </row>
  </sheetData>
  <sheetProtection selectLockedCells="1" sort="0" autoFilter="0" pivotTables="0" selectUnlockedCells="1"/>
  <protectedRanges>
    <protectedRange sqref="A1:D68 A79:D79 D69:D78 A69:B78 A83:D85 D80:D82 A80:B82 A89:D89 D86:D88 A86:B88 D90 A90:B90 A91:D1048576" name="Range1"/>
  </protectedRanges>
  <autoFilter ref="A1:J1">
    <sortState ref="A2:J368">
      <sortCondition ref="D1"/>
    </sortState>
  </autoFilter>
  <pageMargins left="0.7" right="0.7" top="0.75" bottom="0.75" header="0.3" footer="0.3"/>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B098D99-9632-4AA2-B376-4B29D8E6EC4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Summary</vt:lpstr>
      <vt:lpstr>Database</vt:lpstr>
      <vt:lpstr>SearchBy</vt:lpstr>
      <vt:lpstr>TimeType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Townsend</dc:creator>
  <cp:lastModifiedBy>Stephen</cp:lastModifiedBy>
  <cp:lastPrinted>2018-02-20T23:30:11Z</cp:lastPrinted>
  <dcterms:created xsi:type="dcterms:W3CDTF">2017-06-28T15:14:27Z</dcterms:created>
  <dcterms:modified xsi:type="dcterms:W3CDTF">2018-02-21T00:58:13Z</dcterms:modified>
</cp:coreProperties>
</file>